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916c147d548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et" sheetId="1" r:id="R3ac7269262734f75"/>
    <x:sheet xmlns:r="http://schemas.openxmlformats.org/officeDocument/2006/relationships" name="HES_177" sheetId="2" r:id="Rd0cb93a1f49e49ec"/>
    <x:sheet xmlns:r="http://schemas.openxmlformats.org/officeDocument/2006/relationships" name="Havza_Ozeti" sheetId="3" r:id="R58a27d5da5b6406d"/>
    <x:sheet xmlns:r="http://schemas.openxmlformats.org/officeDocument/2006/relationships" name="Havza_Poligonlari" sheetId="4" r:id="R358a250a0ec34445"/>
    <x:sheet xmlns:r="http://schemas.openxmlformats.org/officeDocument/2006/relationships" name="Kaynaklar" sheetId="5" r:id="Rab8aa1dd1c744543"/>
    <x:sheet xmlns:r="http://schemas.openxmlformats.org/officeDocument/2006/relationships" name="Koordinat_Raporu" sheetId="6" r:id="R66b08543a4594dd2"/>
    <x:sheet xmlns:r="http://schemas.openxmlformats.org/officeDocument/2006/relationships" name="Trafo_Eslesmeleri" sheetId="7" r:id="R109c62117a164fd6"/>
    <x:sheet xmlns:r="http://schemas.openxmlformats.org/officeDocument/2006/relationships" name="Eksik_Koordinatlar" sheetId="8" r:id="R0eec3a710e8241f3"/>
    <x:sheet xmlns:r="http://schemas.openxmlformats.org/officeDocument/2006/relationships" name="GIS_Ozet" sheetId="9" r:id="Rf468c0d755774e5d"/>
    <x:sheet xmlns:r="http://schemas.openxmlformats.org/officeDocument/2006/relationships" name="TATUS_Fallback" sheetId="10" r:id="Ra16af2b7a69840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.000000"/>
    <x:numFmt numFmtId="202" formatCode="0.00"/>
    <x:numFmt numFmtId="203" formatCode="dd.mm.yyyy hh:mm"/>
    <x:numFmt numFmtId="204" formatCode="#,##0.00"/>
    <x:numFmt numFmtId="205" formatCode="0.000"/>
    <x:numFmt numFmtId="206" formatCode="0.0%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9"/>
      <x:color rgb="FF526B73"/>
      <x:name val="Carlito"/>
    </x:font>
    <x:font>
      <x:b/>
      <x:sz val="10"/>
      <x:color rgb="FFFFFFFF"/>
      <x:name val="Carlito"/>
    </x:font>
    <x:font>
      <x:sz val="9"/>
      <x:color rgb="FF16313A"/>
      <x:name val="Carlito"/>
    </x:font>
    <x:font>
      <x:sz val="10"/>
      <x:color rgb="FF16313A"/>
      <x:name val="Carlito"/>
    </x:font>
    <x:font>
      <x:b/>
      <x:sz val="9"/>
      <x:color rgb="FF16313A"/>
      <x:name val="Carlito"/>
    </x:font>
    <x:font>
      <x:b/>
      <x:sz val="11"/>
      <x:color rgb="FFFFFFFF"/>
      <x:name val="Carlito"/>
    </x:font>
    <x:font>
      <x:sz val="9"/>
      <x:color rgb="FF526B73"/>
      <x:name val="Carlito"/>
    </x:font>
    <x:font>
      <x:b/>
      <x:sz val="14"/>
      <x:color rgb="FFFFFFFF"/>
      <x:name val="Carlito"/>
    </x:font>
    <x:font>
      <x:sz val="10"/>
      <x:color rgb="FF134E4A"/>
      <x:name val="Carlito"/>
    </x:font>
    <x:font>
      <x:i/>
      <x:sz val="10"/>
      <x:color rgb="FF134E4A"/>
      <x:name val="Carlito"/>
    </x:font>
    <x:font>
      <x:i/>
      <x:sz val="9"/>
      <x:color rgb="FF134E4A"/>
      <x:name val="Carlito"/>
    </x:font>
    <x:font>
      <x:sz val="9"/>
      <x:color rgb="FF134E4A"/>
      <x:name val="Carlito"/>
    </x:font>
    <x:font>
      <x:b/>
      <x:sz val="13"/>
      <x:color rgb="FFFFFFFF"/>
      <x:name val="Carlito"/>
    </x:font>
    <x:font>
      <x:b/>
      <x:sz val="12"/>
      <x:color rgb="FF0F766E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6"/>
      </x:patternFill>
    </x:fill>
    <x:fill>
      <x:patternFill patternType="solid">
        <x:fgColor rgb="FF1F6F8B"/>
      </x:patternFill>
    </x:fill>
    <x:fill>
      <x:patternFill patternType="solid">
        <x:fgColor rgb="FFD7EEF3"/>
      </x:patternFill>
    </x:fill>
    <x:fill>
      <x:patternFill patternType="solid">
        <x:fgColor rgb="FFF7FBFC"/>
      </x:patternFill>
    </x:fill>
    <x:fill>
      <x:patternFill patternType="solid">
        <x:fgColor rgb="FF16697A"/>
      </x:patternFill>
    </x:fill>
    <x:fill>
      <x:patternFill patternType="solid">
        <x:fgColor rgb="FF0F766E"/>
      </x:patternFill>
    </x:fill>
    <x:fill>
      <x:patternFill patternType="solid">
        <x:fgColor rgb="FF0F4C5C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0F4C5C"/>
      </x:patternFill>
    </x:fill>
    <x:fill>
      <x:patternFill patternType="solid">
        <x:fgColor rgb="FFE6F4F1"/>
      </x:patternFill>
    </x:fill>
    <x:fill>
      <x:patternFill patternType="solid">
        <x:fgColor rgb="FF991B1B"/>
      </x:patternFill>
    </x:fill>
    <x:fill>
      <x:patternFill patternType="solid">
        <x:fgColor rgb="FF155E75"/>
      </x:patternFill>
    </x:fill>
    <x:fill>
      <x:patternFill patternType="solid">
        <x:fgColor rgb="FFECFDF5"/>
      </x:patternFill>
    </x:fill>
  </x:fills>
  <x:borders count="18">
    <x:border/>
    <x:border/>
    <x:border>
      <x:left style="thin">
        <x:color rgb="FFB8D3D9"/>
      </x:left>
      <x:top style="thin">
        <x:color rgb="FFB8D3D9"/>
      </x:top>
    </x:border>
    <x:border>
      <x:top style="thin">
        <x:color rgb="FFB8D3D9"/>
      </x:top>
    </x:border>
    <x:border>
      <x:right style="thin">
        <x:color rgb="FFB8D3D9"/>
      </x:right>
      <x:top style="thin">
        <x:color rgb="FFB8D3D9"/>
      </x:top>
    </x:border>
    <x:border>
      <x:left style="thin">
        <x:color rgb="FFB8D3D9"/>
      </x:left>
    </x:border>
    <x:border>
      <x:right style="thin">
        <x:color rgb="FFB8D3D9"/>
      </x:right>
    </x:border>
    <x:border>
      <x:left style="thin">
        <x:color rgb="FFB8D3D9"/>
      </x:left>
      <x:bottom style="thin">
        <x:color rgb="FFB8D3D9"/>
      </x:bottom>
    </x:border>
    <x:border>
      <x:bottom style="thin">
        <x:color rgb="FFB8D3D9"/>
      </x:bottom>
    </x:border>
    <x:border>
      <x:right style="thin">
        <x:color rgb="FFB8D3D9"/>
      </x:right>
      <x:bottom style="thin">
        <x:color rgb="FFB8D3D9"/>
      </x:bottom>
    </x:border>
    <x:border>
      <x:left style="thin">
        <x:color rgb="FFB8D3D9"/>
      </x:left>
      <x:top style="thin">
        <x:color rgb="FFB8D3D9"/>
      </x:top>
    </x:border>
    <x:border>
      <x:top style="thin">
        <x:color rgb="FFB8D3D9"/>
      </x:top>
    </x:border>
    <x:border>
      <x:right style="thin">
        <x:color rgb="FFB8D3D9"/>
      </x:right>
      <x:top style="thin">
        <x:color rgb="FFB8D3D9"/>
      </x:top>
    </x:border>
    <x:border>
      <x:left style="thin">
        <x:color rgb="FFB8D3D9"/>
      </x:left>
    </x:border>
    <x:border>
      <x:right style="thin">
        <x:color rgb="FFB8D3D9"/>
      </x:right>
    </x:border>
    <x:border>
      <x:left style="thin">
        <x:color rgb="FFB8D3D9"/>
      </x:left>
      <x:bottom style="thin">
        <x:color rgb="FFB8D3D9"/>
      </x:bottom>
    </x:border>
    <x:border>
      <x:bottom style="thin">
        <x:color rgb="FFB8D3D9"/>
      </x:bottom>
    </x:border>
    <x:border>
      <x:right style="thin">
        <x:color rgb="FFB8D3D9"/>
      </x:right>
      <x:bottom style="thin">
        <x:color rgb="FFB8D3D9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/>
    <x:xf numFmtId="204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4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4" fontId="4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left"/>
    </x:xf>
    <x:xf numFmtId="0" fontId="7" fillId="7" borderId="1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7" fillId="7" borderId="3" xfId="0" applyNumberFormat="1" applyFont="1" applyFill="1" applyBorder="1" applyAlignment="1">
      <x:alignment horizontal="left" vertical="center"/>
    </x:xf>
    <x:xf numFmtId="0" fontId="7" fillId="7" borderId="4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8" fillId="3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6" fillId="0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7" fillId="7" borderId="11" xfId="0" applyNumberFormat="1" applyFont="1" applyFill="1" applyBorder="1" applyAlignment="1">
      <x:alignment horizontal="left" vertical="center"/>
    </x:xf>
    <x:xf numFmtId="0" fontId="7" fillId="7" borderId="12" xfId="0" applyNumberFormat="1" applyFont="1" applyFill="1" applyBorder="1" applyAlignment="1">
      <x:alignment horizontal="left" vertical="center"/>
    </x:xf>
    <x:xf numFmtId="0" fontId="6" fillId="0" borderId="13" xfId="0" applyNumberFormat="1" applyFont="1" applyFill="1" applyBorder="1" applyAlignment="1">
      <x:alignment vertical="center"/>
    </x:xf>
    <x:xf numFmtId="0" fontId="8" fillId="3" borderId="14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6" fillId="0" borderId="15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20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200" fontId="4" fillId="0" borderId="16" xfId="0" applyNumberFormat="1" applyFont="1" applyFill="1" applyBorder="1" applyAlignment="1">
      <x:alignment vertical="center" wrapText="1"/>
    </x:xf>
    <x:xf numFmtId="201" fontId="4" fillId="0" borderId="16" xfId="0" applyNumberFormat="1" applyFont="1" applyFill="1" applyBorder="1" applyAlignment="1">
      <x:alignment vertical="center" wrapText="1"/>
    </x:xf>
    <x:xf numFmtId="202" fontId="4" fillId="0" borderId="16" xfId="0" applyNumberFormat="1" applyFont="1" applyFill="1" applyBorder="1" applyAlignment="1">
      <x:alignment vertical="center" wrapText="1"/>
    </x:xf>
    <x:xf numFmtId="203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204" fontId="4" fillId="0" borderId="1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left"/>
    </x:xf>
    <x:xf numFmtId="0" fontId="9" fillId="9" borderId="0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 wrapText="1"/>
    </x:xf>
    <x:xf numFmtId="206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horizontal="left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4" fontId="4" fillId="6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horizontal="left" vertical="center"/>
    </x:xf>
    <x:xf numFmtId="0" fontId="2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 applyAlignment="1">
      <x:alignment horizontal="left" vertical="center"/>
    </x:xf>
    <x:xf numFmtId="0" fontId="9" fillId="2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left"/>
    </x:xf>
    <x:xf numFmtId="0" fontId="11" fillId="13" borderId="0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 vertical="center" wrapText="1"/>
    </x:xf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left" vertical="center" wrapText="1"/>
    </x:xf>
    <x:xf numFmtId="0" fontId="14" fillId="14" borderId="0" xfId="0" applyNumberFormat="1" applyFont="1" applyFill="1" applyBorder="1" applyAlignment="1">
      <x:alignment horizontal="left"/>
    </x:xf>
    <x:xf numFmtId="0" fontId="15" fillId="0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201" fontId="0" fillId="0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276221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16a2902664730" /><Relationship Type="http://schemas.openxmlformats.org/officeDocument/2006/relationships/theme" Target="/xl/theme/theme1.xml" Id="R24d86e4c1fc24a71" /><Relationship Type="http://schemas.openxmlformats.org/officeDocument/2006/relationships/sharedStrings" Target="/xl/sharedStrings.xml" Id="R6700a6dcecba441e" /><Relationship Type="http://schemas.openxmlformats.org/officeDocument/2006/relationships/worksheet" Target="/xl/worksheets/sheet1.xml" Id="R3ac7269262734f75" /><Relationship Type="http://schemas.openxmlformats.org/officeDocument/2006/relationships/worksheet" Target="/xl/worksheets/sheet2.xml" Id="Rd0cb93a1f49e49ec" /><Relationship Type="http://schemas.openxmlformats.org/officeDocument/2006/relationships/worksheet" Target="/xl/worksheets/sheet3.xml" Id="R58a27d5da5b6406d" /><Relationship Type="http://schemas.openxmlformats.org/officeDocument/2006/relationships/worksheet" Target="/xl/worksheets/sheet4.xml" Id="R358a250a0ec34445" /><Relationship Type="http://schemas.openxmlformats.org/officeDocument/2006/relationships/worksheet" Target="/xl/worksheets/sheet5.xml" Id="Rab8aa1dd1c744543" /><Relationship Type="http://schemas.openxmlformats.org/officeDocument/2006/relationships/worksheet" Target="/xl/worksheets/sheet6.xml" Id="R66b08543a4594dd2" /><Relationship Type="http://schemas.openxmlformats.org/officeDocument/2006/relationships/worksheet" Target="/xl/worksheets/sheet7.xml" Id="R109c62117a164fd6" /><Relationship Type="http://schemas.openxmlformats.org/officeDocument/2006/relationships/worksheet" Target="/xl/worksheets/sheet8.xml" Id="R0eec3a710e8241f3" /><Relationship Type="http://schemas.openxmlformats.org/officeDocument/2006/relationships/worksheet" Target="/xl/worksheets/sheet9.xml" Id="Rf468c0d755774e5d" /><Relationship Type="http://schemas.openxmlformats.org/officeDocument/2006/relationships/worksheet" Target="/xl/worksheets/sheet10.xml" Id="Ra16af2b7a69840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c304c0e4948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Havza Bazında HES Sayısı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HES Sayısı</c:v>
          </c:tx>
          <c:cat>
            <c:strRef>
              <c:f>'Havza_Ozeti'!$B$4:$B$28</c:f>
              <c:strCache>
                <c:ptCount val="0"/>
              </c:strCache>
            </c:strRef>
          </c:cat>
          <c:val>
            <c:numRef>
              <c:f>'Havza_Ozeti'!$C$4:$C$28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c304c0e4948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S177Table" displayName="HES177Table" ref="A3:AA180" headerRowCount="1" totalsRowCount="0" totalsRowShown="0">
  <x:tableColumns count="27">
    <x:tableColumn id="1" name="Sıra"/>
    <x:tableColumn id="2" name="HES"/>
    <x:tableColumn id="3" name="Havza (Kaynak)"/>
    <x:tableColumn id="4" name="Havza (TATUS)"/>
    <x:tableColumn id="5" name="Havza ID"/>
    <x:tableColumn id="6" name="Havza Poligon GeoJSON URL"/>
    <x:tableColumn id="7" name="Baraj / Rezervuar Eşleşmesi"/>
    <x:tableColumn id="8" name="Bulunduğu İl"/>
    <x:tableColumn id="9" name="Enlem"/>
    <x:tableColumn id="10" name="Boylam"/>
    <x:tableColumn id="11" name="Maksimum Su Seviyesi (m)"/>
    <x:tableColumn id="12" name="Minimum Su Seviyesi (m)"/>
    <x:tableColumn id="13" name="Kaskat Santrali"/>
    <x:tableColumn id="14" name="Kurulu Güç (MW)"/>
    <x:tableColumn id="15" name="Ünite Debisi (m³/sn)"/>
    <x:tableColumn id="16" name="Maksimum Hacim (hm³)"/>
    <x:tableColumn id="17" name="Minimum Hacim (hm³)"/>
    <x:tableColumn id="18" name="Aktif Hacim (hm³)"/>
    <x:tableColumn id="19" name="Suyun Enerji Karşılığı (MWh)"/>
    <x:tableColumn id="20" name="EPİAŞ Veri Tarihi"/>
    <x:tableColumn id="21" name="Eşleşme Yöntemi"/>
    <x:tableColumn id="22" name="Veri Kalitesi"/>
    <x:tableColumn id="23" name="İl Kaynağı"/>
    <x:tableColumn id="24" name="Kurulu Güç Kaynağı"/>
    <x:tableColumn id="25" name="Konum Kaynağı"/>
    <x:tableColumn id="26" name="Kaskat Kaynak Değeri"/>
    <x:tableColumn id="27" name="N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vzaOzetTable" displayName="HavzaOzetTable" ref="A3:H28" headerRowCount="1" totalsRowCount="0" totalsRowShown="0">
  <x:tableColumns count="8">
    <x:tableColumn id="1" name="Havza ID"/>
    <x:tableColumn id="2" name="Havza (TATUS)"/>
    <x:tableColumn id="3" name="HES Sayısı"/>
    <x:tableColumn id="4" name="Kurulu Güç Toplamı (MW)"/>
    <x:tableColumn id="5" name="Ünite Debisi Bulunan"/>
    <x:tableColumn id="6" name="Koordinatlı HES"/>
    <x:tableColumn id="7" name="Aktif Hacim Bulunan"/>
    <x:tableColumn id="8" name="GeoJSON Polig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vzaPoligonTable" displayName="HavzaPoligonTable" ref="A3:E28" headerRowCount="1" totalsRowCount="0" totalsRowShown="0">
  <x:tableColumns count="5">
    <x:tableColumn id="1" name="Havza ID"/>
    <x:tableColumn id="2" name="Havza Adı"/>
    <x:tableColumn id="3" name="Geometri"/>
    <x:tableColumn id="4" name="EPSG"/>
    <x:tableColumn id="5" name="GeoJSON Sorgu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aynakTable" displayName="KaynakTable" ref="A3:E58" headerRowCount="1" totalsRowCount="0" totalsRowShown="0">
  <x:tableColumns count="5">
    <x:tableColumn id="1" name="Tür"/>
    <x:tableColumn id="2" name="Kullanım"/>
    <x:tableColumn id="3" name="Kayıt/HES"/>
    <x:tableColumn id="4" name="Kaynak / URL"/>
    <x:tableColumn id="5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1adc0b1b5744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40e702afd2b4951" /><Relationship Type="http://schemas.openxmlformats.org/officeDocument/2006/relationships/table" Target="/xl/tables/table2.xml" Id="R6817f854e0574e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214495338b4d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1bf505ffb04d8c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4" max="4" width="7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40" t="str">
        <x:v>177 HES — Zenginleştirilmiş Envanter Özeti v3 GIS</x:v>
      </x:c>
      <x:c r="B1" s="140"/>
      <x:c r="C1" s="140"/>
      <x:c r="D1" s="140"/>
      <x:c r="E1" s="5"/>
      <x:c r="F1" s="5"/>
      <x:c r="G1" s="5"/>
      <x:c r="H1" s="5"/>
    </x:row>
    <x:row r="2" ht="44" customHeight="1">
      <x:c r="A2" s="156" t="str">
        <x:v>v2: 50 doğrulanmış HES/baraj koordinatı korunmuş; hes_MERKEZI_LISTESI.xlsx ile 79 eksik koordinat trafo merkezi referans noktasıyla tamamlanmıştır. Son durumda 129/177 HES haritada konumlandırılabilir; 48 HES koordinatı hâlâ eksiktir. Havza ID ve resmî TATUS polygon URL kapsamı 177/177'dir.</x:v>
      </x:c>
      <x:c r="B2" s="156"/>
      <x:c r="C2" s="156"/>
      <x:c r="D2" s="156"/>
      <x:c r="E2" s="44"/>
      <x:c r="F2" s="44"/>
      <x:c r="G2" s="44"/>
      <x:c r="H2" s="44"/>
    </x:row>
    <x:row r="3">
      <x:c r="A3" s="132"/>
      <x:c r="B3" s="132"/>
      <x:c r="C3" s="132"/>
      <x:c r="D3" s="132"/>
    </x:row>
    <x:row r="4">
      <x:c r="A4" s="74" t="str">
        <x:v>Gösterge</x:v>
      </x:c>
      <x:c r="B4" s="75" t="str">
        <x:v>Değer</x:v>
      </x:c>
      <x:c r="C4" s="145"/>
      <x:c r="D4" s="146" t="str">
        <x:v>Kapsam / Yorum</x:v>
      </x:c>
      <x:c r="E4" s="77" t="str"/>
      <x:c r="F4" s="77" t="str"/>
      <x:c r="G4" s="77" t="str"/>
      <x:c r="H4" s="78" t="str"/>
    </x:row>
    <x:row r="5" ht="34" customHeight="1">
      <x:c r="A5" s="147" t="str">
        <x:v>Toplam HES</x:v>
      </x:c>
      <x:c r="B5" s="148" t="n">
        <x:f>COUNTA(HES_177!B4:B180)</x:f>
        <x:v>177</x:v>
      </x:c>
      <x:c r="C5" s="132"/>
      <x:c r="D5" s="70" t="str">
        <x:v>Su seviyesi: HES_LİSTESİ.xlsx içindeki 177 satırın maksimum/minimum işletme su seviyeleri esas alındı.</x:v>
      </x:c>
      <x:c r="E5" s="70"/>
      <x:c r="F5" s="70"/>
      <x:c r="G5" s="70"/>
      <x:c r="H5" s="81"/>
    </x:row>
    <x:row r="6">
      <x:c r="A6" s="147" t="str">
        <x:v>Kurulu güç bulunan</x:v>
      </x:c>
      <x:c r="B6" s="148" t="n">
        <x:f>COUNT(HES_177!N4:N180)</x:f>
        <x:v>177</x:v>
      </x:c>
      <x:c r="C6" s="132"/>
      <x:c r="D6" s="132"/>
      <x:c r="E6" s="80"/>
      <x:c r="F6" s="80"/>
      <x:c r="G6" s="80"/>
      <x:c r="H6" s="82"/>
    </x:row>
    <x:row r="7" ht="34" customHeight="1">
      <x:c r="A7" s="147" t="str">
        <x:v>Toplam kurulu güç (MW)</x:v>
      </x:c>
      <x:c r="B7" s="149" t="n">
        <x:f>SUM(HES_177!N4:N180)</x:f>
        <x:v>24516.504999999994</x:v>
      </x:c>
      <x:c r="C7" s="132"/>
      <x:c r="D7" s="70" t="str">
        <x:v>EPİAŞ zenginleştirme: Debi/Kurulu Güç, Hacim, Kot, Aktif Hacim ve Suyun Enerji Karşılığı dosyaları ad/kot/havza eşleşmesiyle birleştirildi.</x:v>
      </x:c>
      <x:c r="E7" s="70"/>
      <x:c r="F7" s="70"/>
      <x:c r="G7" s="70"/>
      <x:c r="H7" s="81"/>
    </x:row>
    <x:row r="8">
      <x:c r="A8" s="147" t="str">
        <x:v>İl bulunan</x:v>
      </x:c>
      <x:c r="B8" s="148" t="n">
        <x:f>COUNTA(HES_177!H4:H180)</x:f>
        <x:v>176</x:v>
      </x:c>
      <x:c r="C8" s="132"/>
      <x:c r="D8" s="132"/>
      <x:c r="E8" s="80"/>
      <x:c r="F8" s="80"/>
      <x:c r="G8" s="80"/>
      <x:c r="H8" s="82"/>
    </x:row>
    <x:row r="9">
      <x:c r="A9" s="147" t="str">
        <x:v>Koordinatı doğrulanmış (HES/baraj)</x:v>
      </x:c>
      <x:c r="B9" s="148" t="n">
        <x:v>50</x:v>
      </x:c>
      <x:c r="C9" s="132"/>
      <x:c r="D9" s="132" t="str">
        <x:v>Kesin/öncelikli konum; v1 koordinatları değiştirilmedi.</x:v>
      </x:c>
      <x:c r="E9" s="80"/>
      <x:c r="F9" s="80"/>
      <x:c r="G9" s="80"/>
      <x:c r="H9" s="82"/>
    </x:row>
    <x:row r="10" ht="34" customHeight="1">
      <x:c r="A10" s="147" t="str">
        <x:v>EPİAŞ su verisi eşleşen</x:v>
      </x:c>
      <x:c r="B10" s="148" t="n">
        <x:f>COUNT(HES_177!O4:O180)</x:f>
        <x:v>91</x:v>
      </x:c>
      <x:c r="C10" s="132"/>
      <x:c r="D10" s="70" t="str">
        <x:v>Konum: TATUS/baraj koordinatları ve doğrulanabilen web kaynakları kullanıldı. Doğrulanamayan koordinatlar boş bırakıldı; yaklaşık nokta üretilmedi.</x:v>
      </x:c>
      <x:c r="E10" s="70"/>
      <x:c r="F10" s="70"/>
      <x:c r="G10" s="70"/>
      <x:c r="H10" s="81"/>
    </x:row>
    <x:row r="11">
      <x:c r="A11" s="147" t="str">
        <x:v>Ünite debisi bulunan</x:v>
      </x:c>
      <x:c r="B11" s="148" t="n">
        <x:f>COUNT(HES_177!O4:O180)</x:f>
        <x:v>91</x:v>
      </x:c>
      <x:c r="C11" s="132"/>
      <x:c r="D11" s="132"/>
      <x:c r="E11" s="80"/>
      <x:c r="F11" s="80"/>
      <x:c r="G11" s="80"/>
      <x:c r="H11" s="82"/>
    </x:row>
    <x:row r="12">
      <x:c r="A12" s="147" t="str">
        <x:v>Maks./Min. hacim bulunan</x:v>
      </x:c>
      <x:c r="B12" s="148" t="n">
        <x:f>COUNT(HES_177!P4:P180)</x:f>
        <x:v>91</x:v>
      </x:c>
      <x:c r="C12" s="132"/>
      <x:c r="D12" s="132"/>
      <x:c r="E12" s="80"/>
      <x:c r="F12" s="80"/>
      <x:c r="G12" s="80"/>
      <x:c r="H12" s="82"/>
    </x:row>
    <x:row r="13" ht="34" customHeight="1">
      <x:c r="A13" s="147" t="str">
        <x:v>Aktif hacim bulunan</x:v>
      </x:c>
      <x:c r="B13" s="148" t="n">
        <x:f>COUNT(HES_177!R4:R180)</x:f>
        <x:v>80</x:v>
      </x:c>
      <x:c r="C13" s="132"/>
      <x:c r="D13" s="70" t="str">
        <x:v>Havza poligonu: her satırda TATUS Havza Sınırları (FeatureServer/11) için doğrudan GeoJSON sorgu URL’si bulunur.</x:v>
      </x:c>
      <x:c r="E13" s="70"/>
      <x:c r="F13" s="70"/>
      <x:c r="G13" s="70"/>
      <x:c r="H13" s="81"/>
    </x:row>
    <x:row r="14">
      <x:c r="A14" s="147" t="str">
        <x:v>Su enerji karşılığı bulunan</x:v>
      </x:c>
      <x:c r="B14" s="148" t="n">
        <x:f>COUNT(HES_177!S4:S180)</x:f>
        <x:v>80</x:v>
      </x:c>
      <x:c r="C14" s="132"/>
      <x:c r="D14" s="132"/>
      <x:c r="E14" s="80"/>
      <x:c r="F14" s="80"/>
      <x:c r="G14" s="80"/>
      <x:c r="H14" s="82"/>
    </x:row>
    <x:row r="15">
      <x:c r="A15" s="147" t="str">
        <x:v>Kaskat santrali adı bulunan</x:v>
      </x:c>
      <x:c r="B15" s="148" t="n">
        <x:f>COUNTA(HES_177!M4:M180)</x:f>
        <x:v>71</x:v>
      </x:c>
      <x:c r="C15" s="132"/>
      <x:c r="D15" s="132"/>
      <x:c r="E15" s="80"/>
      <x:c r="F15" s="80"/>
      <x:c r="G15" s="80"/>
      <x:c r="H15" s="82"/>
    </x:row>
    <x:row r="16" ht="34" customHeight="1">
      <x:c r="A16" s="147" t="str">
        <x:v>Kalite A</x:v>
      </x:c>
      <x:c r="B16" s="148" t="n">
        <x:f>COUNTIF(HES_177!V4:V180,"A")</x:f>
        <x:v>46</x:v>
      </x:c>
      <x:c r="C16" s="132"/>
      <x:c r="D16" s="70" t="str">
        <x:v>Veri Kalitesi: A = su göstergesi + koordinat; B = su göstergesi veya koordinat; C = HES listesi + güç/il gibi kısmi web zenginleştirmesi.</x:v>
      </x:c>
      <x:c r="E16" s="70"/>
      <x:c r="F16" s="70"/>
      <x:c r="G16" s="70"/>
      <x:c r="H16" s="81"/>
    </x:row>
    <x:row r="17">
      <x:c r="A17" s="147" t="str">
        <x:v>Kalite B</x:v>
      </x:c>
      <x:c r="B17" s="148" t="n">
        <x:f>COUNTIF(HES_177!V4:V180,"B")</x:f>
        <x:v>49</x:v>
      </x:c>
      <x:c r="C17" s="132"/>
      <x:c r="D17" s="132"/>
      <x:c r="E17" s="80"/>
      <x:c r="F17" s="80"/>
      <x:c r="G17" s="80"/>
      <x:c r="H17" s="82"/>
    </x:row>
    <x:row r="18">
      <x:c r="A18" s="150" t="str">
        <x:v>Kalite C</x:v>
      </x:c>
      <x:c r="B18" s="151" t="n">
        <x:f>COUNTIF(HES_177!V4:V180,"C")</x:f>
        <x:v>82</x:v>
      </x:c>
      <x:c r="C18" s="152"/>
      <x:c r="D18" s="152"/>
      <x:c r="E18" s="85"/>
      <x:c r="F18" s="85"/>
      <x:c r="G18" s="85"/>
      <x:c r="H18" s="86"/>
    </x:row>
    <x:row r="19">
      <x:c r="A19" s="132"/>
      <x:c r="B19" s="132"/>
      <x:c r="C19" s="132"/>
      <x:c r="D19" s="132"/>
    </x:row>
    <x:row r="20">
      <x:c r="A20" s="131" t="str">
        <x:v>v2 Koordinat Zenginleştirme</x:v>
      </x:c>
      <x:c r="B20" s="131" t="str">
        <x:v>Değer</x:v>
      </x:c>
      <x:c r="C20" s="131"/>
      <x:c r="D20" s="131" t="str">
        <x:v>Kapsam / Yorum</x:v>
      </x:c>
    </x:row>
    <x:row r="21">
      <x:c r="A21" s="132" t="str">
        <x:v>Trafo merkezi koordinatı ile tamamlanan</x:v>
      </x:c>
      <x:c r="B21" s="132" t="n">
        <x:v>79</x:v>
      </x:c>
      <x:c r="C21" s="132"/>
      <x:c r="D21" s="132" t="str">
        <x:v>70 tam ad + 9 kontrollü alias eşleşmesi; yaklaşık konum</x:v>
      </x:c>
    </x:row>
    <x:row r="22">
      <x:c r="A22" s="132" t="str">
        <x:v>Haritada kullanılabilir koordinat</x:v>
      </x:c>
      <x:c r="B22" s="132" t="n">
        <x:v>129</x:v>
      </x:c>
      <x:c r="C22" s="132"/>
      <x:c r="D22" s="132" t="str">
        <x:v>%72.9 kapsam</x:v>
      </x:c>
    </x:row>
    <x:row r="23">
      <x:c r="A23" s="132" t="str">
        <x:v>Koordinatı hâlâ eksik</x:v>
      </x:c>
      <x:c r="B23" s="132" t="n">
        <x:v>48</x:v>
      </x:c>
      <x:c r="C23" s="132"/>
      <x:c r="D23" s="132" t="str">
        <x:v>Eksik_Koordinatlar sayfasında listelendi</x:v>
      </x:c>
    </x:row>
    <x:row r="24">
      <x:c r="A24" s="132" t="str">
        <x:v>Havza ID bulunan</x:v>
      </x:c>
      <x:c r="B24" s="132" t="n">
        <x:v>177</x:v>
      </x:c>
      <x:c r="C24" s="132"/>
      <x:c r="D24" s="132" t="str">
        <x:v>TATUS</x:v>
      </x:c>
    </x:row>
    <x:row r="25">
      <x:c r="A25" s="132" t="str">
        <x:v>Havza polygon bağlantısı bulunan</x:v>
      </x:c>
      <x:c r="B25" s="132" t="n">
        <x:v>177</x:v>
      </x:c>
      <x:c r="C25" s="132"/>
      <x:c r="D25" s="132" t="str">
        <x:v>EPSG:4326 resmî GeoJSON sorguları</x:v>
      </x:c>
    </x:row>
    <x:row r="26">
      <x:c r="A26" s="197" t="str">
        <x:v>v3 GIS</x:v>
      </x:c>
      <x:c r="B26" s="197" t="str">
        <x:v>140 / 177 HES Point</x:v>
      </x:c>
      <x:c r="C26" s="197" t="str">
        <x:v>11 yeni TATUS fallback</x:v>
      </x:c>
      <x:c r="D26" s="197" t="str">
        <x:v>Akarsu/Polyline ve Su Toplama Alanı/Polygon için satır-bazlı resmî GeoJSON sorgu URL'leri eklendi.</x:v>
      </x:c>
    </x:row>
    <x:row r="27">
      <x:c r="A27" s="197" t="str">
        <x:v>Kalan koordinat eksik</x:v>
      </x:c>
      <x:c r="B27" s="197" t="str">
        <x:v>37 / 177</x:v>
      </x:c>
      <x:c r="C27" s="197" t="str">
        <x:v>TATUS fallback ile çözülemeyen</x:v>
      </x:c>
      <x:c r="D27" s="197" t="str">
        <x:v>Baraj point sorgu URL'leri korunmuştur; yanlış koordinat uydurulmamıştır.</x:v>
      </x:c>
    </x:row>
    <x:row r="28">
      <x:c r="A28" s="132"/>
      <x:c r="B28" s="132"/>
      <x:c r="C28" s="132"/>
      <x:c r="D28" s="132"/>
    </x:row>
    <x:row r="29">
      <x:c r="A29" s="132"/>
      <x:c r="B29" s="132"/>
      <x:c r="C29" s="132"/>
      <x:c r="D29" s="132"/>
    </x:row>
    <x:row r="30">
      <x:c r="A30" s="132"/>
      <x:c r="B30" s="132"/>
      <x:c r="C30" s="132"/>
      <x:c r="D30" s="132"/>
      <x:c r="J30"/>
    </x:row>
    <x:row r="31">
      <x:c r="J31"/>
    </x:row>
    <x:row r="32">
      <x:c r="J32"/>
    </x:row>
    <x:row r="33">
      <x:c r="J33"/>
    </x:row>
  </x:sheetData>
  <x:mergeCells>
    <x:mergeCell ref="A1:H1"/>
    <x:mergeCell ref="A2:H2"/>
    <x:mergeCell ref="D4:H4"/>
    <x:mergeCell ref="D5:H5"/>
    <x:mergeCell ref="D7:H7"/>
    <x:mergeCell ref="D10:H10"/>
    <x:mergeCell ref="D13:H13"/>
    <x:mergeCell ref="D16:H16"/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8" hidden="0" customWidth="1"/>
    <x:col min="4" max="4" width="18" hidden="0" customWidth="1"/>
    <x:col min="5" max="5" width="9" hidden="0" customWidth="1"/>
    <x:col min="6" max="6" width="38" hidden="0" customWidth="1"/>
    <x:col min="7" max="7" width="26" hidden="0" customWidth="1"/>
    <x:col min="8" max="8" width="16" hidden="0" customWidth="1"/>
    <x:col min="9" max="9" width="12" hidden="0" customWidth="1"/>
    <x:col min="10" max="10" width="12" hidden="0" customWidth="1"/>
    <x:col min="11" max="11" width="15" hidden="0" customWidth="1"/>
    <x:col min="12" max="12" width="15" hidden="0" customWidth="1"/>
    <x:col min="13" max="13" width="2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7" hidden="0" customWidth="1"/>
    <x:col min="21" max="21" width="16" hidden="0" customWidth="1"/>
    <x:col min="22" max="22" width="11" hidden="0" customWidth="1"/>
    <x:col min="23" max="23" width="34" hidden="0" customWidth="1"/>
    <x:col min="24" max="24" width="34" hidden="0" customWidth="1"/>
    <x:col min="25" max="25" width="34" hidden="0" customWidth="1"/>
    <x:col min="26" max="26" width="18" hidden="0" customWidth="1"/>
    <x:col min="27" max="27" width="42" hidden="0" customWidth="1"/>
    <x:col min="28" max="28" width="22" hidden="0" customWidth="1"/>
    <x:col min="29" max="29" width="34" hidden="0" customWidth="1"/>
    <x:col min="30" max="30" width="14" hidden="0" customWidth="1"/>
    <x:col min="31" max="31" width="24" hidden="0" customWidth="1"/>
    <x:col min="32" max="32" width="16" hidden="0" customWidth="1"/>
    <x:col min="33" max="33" width="16" hidden="0" customWidth="1"/>
    <x:col min="34" max="34" width="16" hidden="0" customWidth="1"/>
    <x:col min="35" max="35" width="24" hidden="0" customWidth="1"/>
    <x:col min="36" max="36" width="18" hidden="0" customWidth="1"/>
    <x:col min="37" max="37" width="20" hidden="0" customWidth="1"/>
    <x:col min="38" max="38" width="14" hidden="0" customWidth="1"/>
    <x:col min="39" max="39" width="30" hidden="0" customWidth="1"/>
    <x:col min="40" max="40" width="26" hidden="0" customWidth="1"/>
    <x:col min="41" max="41" width="25" hidden="0" customWidth="1"/>
    <x:col min="42" max="42" width="12" hidden="0" customWidth="1"/>
    <x:col min="43" max="43" width="14" hidden="0" customWidth="1"/>
    <x:col min="44" max="44" width="14" hidden="0" customWidth="1"/>
    <x:col min="45" max="45" width="30" hidden="0" customWidth="1"/>
    <x:col min="46" max="46" width="40" hidden="0" customWidth="1"/>
    <x:col min="47" max="47" width="24" hidden="0" customWidth="1"/>
    <x:col min="48" max="48" width="18" hidden="0" customWidth="1"/>
    <x:col min="49" max="49" width="42" hidden="0" customWidth="1"/>
    <x:col min="50" max="50" width="34" hidden="0" customWidth="1"/>
    <x:col min="51" max="51" width="14" hidden="0" customWidth="1"/>
    <x:col min="52" max="52" width="42" hidden="0" customWidth="1"/>
    <x:col min="53" max="53" width="28" hidden="0" customWidth="1"/>
    <x:col min="54" max="54" width="14" hidden="0" customWidth="1"/>
    <x:col min="55" max="55" width="40" hidden="0" customWidth="1"/>
  </x:cols>
  <x:sheetData>
    <x:row r="1" ht="26" customHeight="1">
      <x:c r="A1" s="172" t="str">
        <x:v>177 HES — Zenginleştirilmiş Hidroelektrik Santral Envanteri v3 GIS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/>
      <x:c r="P1" s="172"/>
      <x:c r="Q1" s="172"/>
      <x:c r="R1" s="172"/>
      <x:c r="S1" s="172"/>
      <x:c r="T1" s="172"/>
      <x:c r="U1" s="172"/>
      <x:c r="V1" s="172"/>
      <x:c r="W1" s="172"/>
      <x:c r="X1" s="172"/>
      <x:c r="Y1" s="172"/>
      <x:c r="Z1" s="172"/>
      <x:c r="AA1" s="172"/>
      <x:c r="AB1" s="172"/>
      <x:c r="AC1" s="172"/>
      <x:c r="AD1" s="172"/>
      <x:c r="AE1" s="172"/>
      <x:c r="AF1" s="172"/>
      <x:c r="AG1" s="172"/>
      <x:c r="AH1" s="172"/>
      <x:c r="AI1" s="172"/>
      <x:c r="AJ1" s="172"/>
      <x:c r="AK1" s="172"/>
      <x:c r="AL1" s="172"/>
      <x:c r="AM1" s="172"/>
      <x:c r="AN1" s="172"/>
      <x:c r="AO1" s="172"/>
      <x:c r="AP1" s="172"/>
      <x:c r="AQ1" s="172"/>
      <x:c r="AR1" s="172"/>
      <x:c r="AS1" s="172"/>
      <x:c r="AT1" s="172"/>
      <x:c r="AU1" s="172"/>
      <x:c r="AV1" s="172"/>
      <x:c r="AW1" s="172"/>
      <x:c r="AX1" s="172"/>
      <x:c r="AY1" s="172"/>
      <x:c r="AZ1" s="172"/>
      <x:c r="BA1" s="172"/>
      <x:c r="BB1" s="172"/>
      <x:c r="BC1" s="172"/>
    </x:row>
    <x:row r="2" ht="44" customHeight="1">
      <x:c r="A2" s="179" t="str">
        <x:v>v3: v2 koordinatları korunmuş; eksik koordinatlarda güvenli TATUS Baraj Gözlem İstasyonu fallback uygulanmıştır. Her HES için Point geometri, TATUS baraj-point sorgusu, TATUS Nehir (Polyline/LineString) spatial GeoJSON sorgusu ve TATUS Su Toplama Alanı (Polygon) spatial GeoJSON sorgusu eklenmiştir. Büyük geometriler Excel hücresine gömülmeyip resmî EPSG:4326 GeoJSON sorgu URL'leriyle tutulur.</x:v>
      </x:c>
      <x:c r="B2" s="179"/>
      <x:c r="C2" s="179"/>
      <x:c r="D2" s="179"/>
      <x:c r="E2" s="179"/>
      <x:c r="F2" s="179"/>
      <x:c r="G2" s="179"/>
      <x:c r="H2" s="179"/>
      <x:c r="I2" s="179"/>
      <x:c r="J2" s="179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  <x:c r="AA2" s="179"/>
      <x:c r="AB2" s="180"/>
      <x:c r="AC2" s="180"/>
      <x:c r="AD2" s="180"/>
      <x:c r="AE2" s="180"/>
      <x:c r="AF2" s="180"/>
      <x:c r="AG2" s="180"/>
      <x:c r="AH2" s="180"/>
      <x:c r="AI2" s="180"/>
      <x:c r="AJ2" s="180"/>
      <x:c r="AK2" s="180"/>
      <x:c r="AL2" s="180"/>
      <x:c r="AM2" s="180"/>
      <x:c r="AN2" s="180"/>
      <x:c r="AO2" s="180"/>
      <x:c r="AP2" s="180"/>
      <x:c r="AQ2" s="180"/>
      <x:c r="AR2" s="180"/>
      <x:c r="AS2" s="180"/>
      <x:c r="AT2" s="180"/>
      <x:c r="AU2" s="180"/>
      <x:c r="AV2" s="180"/>
      <x:c r="AW2" s="180"/>
      <x:c r="AX2" s="180"/>
      <x:c r="AY2" s="180"/>
      <x:c r="AZ2" s="180"/>
      <x:c r="BA2" s="180"/>
      <x:c r="BB2" s="180"/>
      <x:c r="BC2" s="180"/>
    </x:row>
    <x:row r="3" ht="36" customHeight="1">
      <x:c r="A3" s="74" t="str">
        <x:v>Sıra</x:v>
      </x:c>
      <x:c r="B3" s="75" t="str">
        <x:v>HES</x:v>
      </x:c>
      <x:c r="C3" s="75" t="str">
        <x:v>Havza (Kaynak)</x:v>
      </x:c>
      <x:c r="D3" s="75" t="str">
        <x:v>Havza (TATUS)</x:v>
      </x:c>
      <x:c r="E3" s="75" t="str">
        <x:v>Havza ID</x:v>
      </x:c>
      <x:c r="F3" s="75" t="str">
        <x:v>Havza Poligon GeoJSON URL</x:v>
      </x:c>
      <x:c r="G3" s="75" t="str">
        <x:v>Baraj / Rezervuar Eşleşmesi</x:v>
      </x:c>
      <x:c r="H3" s="75" t="str">
        <x:v>Bulunduğu İl</x:v>
      </x:c>
      <x:c r="I3" s="75" t="str">
        <x:v>Enlem</x:v>
      </x:c>
      <x:c r="J3" s="75" t="str">
        <x:v>Boylam</x:v>
      </x:c>
      <x:c r="K3" s="75" t="str">
        <x:v>Maksimum Su Seviyesi (m)</x:v>
      </x:c>
      <x:c r="L3" s="75" t="str">
        <x:v>Minimum Su Seviyesi (m)</x:v>
      </x:c>
      <x:c r="M3" s="75" t="str">
        <x:v>Kaskat Santrali</x:v>
      </x:c>
      <x:c r="N3" s="75" t="str">
        <x:v>Kurulu Güç (MW)</x:v>
      </x:c>
      <x:c r="O3" s="75" t="str">
        <x:v>Ünite Debisi (m³/sn)</x:v>
      </x:c>
      <x:c r="P3" s="75" t="str">
        <x:v>Maksimum Hacim (hm³)</x:v>
      </x:c>
      <x:c r="Q3" s="75" t="str">
        <x:v>Minimum Hacim (hm³)</x:v>
      </x:c>
      <x:c r="R3" s="75" t="str">
        <x:v>Aktif Hacim (hm³)</x:v>
      </x:c>
      <x:c r="S3" s="75" t="str">
        <x:v>Suyun Enerji Karşılığı (MWh)</x:v>
      </x:c>
      <x:c r="T3" s="75" t="str">
        <x:v>EPİAŞ Veri Tarihi</x:v>
      </x:c>
      <x:c r="U3" s="75" t="str">
        <x:v>Eşleşme Yöntemi</x:v>
      </x:c>
      <x:c r="V3" s="75" t="str">
        <x:v>Veri Kalitesi</x:v>
      </x:c>
      <x:c r="W3" s="75" t="str">
        <x:v>İl Kaynağı</x:v>
      </x:c>
      <x:c r="X3" s="75" t="str">
        <x:v>Kurulu Güç Kaynağı</x:v>
      </x:c>
      <x:c r="Y3" s="75" t="str">
        <x:v>Konum Kaynağı</x:v>
      </x:c>
      <x:c r="Z3" s="75" t="str">
        <x:v>Kaskat Kaynak Değeri</x:v>
      </x:c>
      <x:c r="AA3" s="99" t="str">
        <x:v>Not</x:v>
      </x:c>
      <x:c r="AB3" s="131" t="str">
        <x:v>Koordinat Durumu</x:v>
      </x:c>
      <x:c r="AC3" s="131" t="str">
        <x:v>Koordinat Tipi</x:v>
      </x:c>
      <x:c r="AD3" s="131" t="str">
        <x:v>Trafo Merkezi ID</x:v>
      </x:c>
      <x:c r="AE3" s="131" t="str">
        <x:v>Trafo Merkezi Adı</x:v>
      </x:c>
      <x:c r="AF3" s="131" t="str">
        <x:v>Trafo Merkezi İli</x:v>
      </x:c>
      <x:c r="AG3" s="131" t="str">
        <x:v>Trafo Merkezi Enlem</x:v>
      </x:c>
      <x:c r="AH3" s="131" t="str">
        <x:v>Trafo Merkezi Boylam</x:v>
      </x:c>
      <x:c r="AI3" s="131" t="str">
        <x:v>Trafo Eşleşme Türü</x:v>
      </x:c>
      <x:c r="AJ3" s="131" t="str">
        <x:v>Trafo Eşleşme Güveni</x:v>
      </x:c>
      <x:c r="AK3" s="131" t="str">
        <x:v>HES–Trafo Mesafe Farkı (km)</x:v>
      </x:c>
      <x:c r="AL3" s="171" t="str">
        <x:v>HES Geometri Tipi</x:v>
      </x:c>
      <x:c r="AM3" s="171" t="str">
        <x:v>HES Point GeoJSON</x:v>
      </x:c>
      <x:c r="AN3" s="171" t="str">
        <x:v>GIS Sorgu Noktası Kaynağı</x:v>
      </x:c>
      <x:c r="AO3" s="171" t="str">
        <x:v>TATUS Baraj Gözlem Nokta Adı</x:v>
      </x:c>
      <x:c r="AP3" s="171" t="str">
        <x:v>TATUS Baraj Gözlem Nokta Sayısı</x:v>
      </x:c>
      <x:c r="AQ3" s="171" t="str">
        <x:v>TATUS Baraj Point Enlem</x:v>
      </x:c>
      <x:c r="AR3" s="171" t="str">
        <x:v>TATUS Baraj Point Boylam</x:v>
      </x:c>
      <x:c r="AS3" s="171" t="str">
        <x:v>TATUS Baraj Point GeoJSON</x:v>
      </x:c>
      <x:c r="AT3" s="171" t="str">
        <x:v>TATUS Baraj Point GeoJSON URL</x:v>
      </x:c>
      <x:c r="AU3" s="171" t="str">
        <x:v>Akarsu / Nehir (Ön Eşleme)</x:v>
      </x:c>
      <x:c r="AV3" s="171" t="str">
        <x:v>Akarsu Geometri Tipi</x:v>
      </x:c>
      <x:c r="AW3" s="171" t="str">
        <x:v>Akarsu Polyline GeoJSON URL</x:v>
      </x:c>
      <x:c r="AX3" s="171" t="str">
        <x:v>Akarsu Eşleme Durumu</x:v>
      </x:c>
      <x:c r="AY3" s="171" t="str">
        <x:v>Su Toplama Alanı Geometri Tipi</x:v>
      </x:c>
      <x:c r="AZ3" s="171" t="str">
        <x:v>Su Toplama Alanı Polygon GeoJSON URL</x:v>
      </x:c>
      <x:c r="BA3" s="171" t="str">
        <x:v>Su Toplama Alanı Popup</x:v>
      </x:c>
      <x:c r="BB3" s="171" t="str">
        <x:v>GIS Güven</x:v>
      </x:c>
      <x:c r="BC3" s="171" t="str">
        <x:v>GIS Notu</x:v>
      </x:c>
    </x:row>
    <x:row r="4" ht="30" customHeight="1">
      <x:c r="A4" s="100" t="n">
        <x:v>1</x:v>
      </x:c>
      <x:c r="B4" s="32" t="str">
        <x:v>ADATEPE HES</x:v>
      </x:c>
      <x:c r="C4" s="32" t="str">
        <x:v>Ceyhan</x:v>
      </x:c>
      <x:c r="D4" s="32" t="str">
        <x:v>Ceyhan</x:v>
      </x:c>
      <x:c r="E4" s="34" t="n">
        <x:v>20</x:v>
      </x:c>
      <x:c r="F4" s="32" t="str">
        <x:v>https://cbs1.tarimorman.gov.tr/server/rest/services/TATUS/FeatureServer/11/query?where=ID%3D20&amp;outFields=ID%2CHAVZA_ADI%2CALAN_KM2&amp;returnGeometry=true&amp;outSR=4326&amp;f=geojson</x:v>
      </x:c>
      <x:c r="G4" s="32" t="str">
        <x:v>ADATEPE</x:v>
      </x:c>
      <x:c r="H4" s="32" t="str">
        <x:v>KAHRAMANMARAŞ</x:v>
      </x:c>
      <x:c r="I4" s="36" t="n">
        <x:v>38.1078</x:v>
      </x:c>
      <x:c r="J4" s="36" t="n">
        <x:v>36.73953</x:v>
      </x:c>
      <x:c r="K4" s="38" t="n">
        <x:v>1311.79</x:v>
      </x:c>
      <x:c r="L4" s="38" t="n">
        <x:v>1270.5</x:v>
      </x:c>
      <x:c r="M4" s="32" t="str">
        <x:v>KANDİL HES</x:v>
      </x:c>
      <x:c r="N4" s="38" t="n">
        <x:v>4</x:v>
      </x:c>
      <x:c r="O4" s="38" t="n">
        <x:v>5</x:v>
      </x:c>
      <x:c r="P4" s="38" t="n">
        <x:v>524</x:v>
      </x:c>
      <x:c r="Q4" s="38" t="n">
        <x:v>76</x:v>
      </x:c>
      <x:c r="R4" s="38" t="n">
        <x:v>273.08</x:v>
      </x:c>
      <x:c r="S4" s="38" t="n">
        <x:v>54.02</x:v>
      </x:c>
      <x:c r="T4" s="40" t="n">
        <x:v>46278.81434027778</x:v>
      </x:c>
      <x:c r="U4" s="32" t="str">
        <x:v>exact</x:v>
      </x:c>
      <x:c r="V4" s="32" t="str">
        <x:v>A</x:v>
      </x:c>
      <x:c r="W4" s="32" t="str">
        <x:v>Yüklü Debi_ve_Kurulu_Guc-13092026.xlsx</x:v>
      </x:c>
      <x:c r="X4" s="32" t="str">
        <x:v>Yüklü Debi_ve_Kurulu_Guc-13092026.xlsx</x:v>
      </x:c>
      <x:c r="Y4" s="32" t="str">
        <x:v>https://cbs1.tarimorman.gov.tr/server/rest/services/TATUS/FeatureServer/7</x:v>
      </x:c>
      <x:c r="Z4" s="32" t="str">
        <x:v>KANDİL HES</x:v>
      </x:c>
      <x:c r="AA4" s="101"/>
      <x:c r="AB4" s="133" t="str">
        <x:v>Doğrulanmış koordinat mevcut</x:v>
      </x:c>
      <x:c r="AC4" s="133" t="str">
        <x:v>HES / baraj noktası</x:v>
      </x:c>
      <x:c r="AD4" s="133"/>
      <x:c r="AE4" s="133"/>
      <x:c r="AF4" s="133"/>
      <x:c r="AG4" s="134"/>
      <x:c r="AH4" s="134"/>
      <x:c r="AI4" s="133"/>
      <x:c r="AJ4" s="133"/>
      <x:c r="AK4" s="135"/>
      <x:c r="AL4" s="133" t="str">
        <x:v>Point</x:v>
      </x:c>
      <x:c r="AM4" s="133" t="str">
        <x:v>{"type": "Point", "coordinates": [36.73953, 38.1078]}</x:v>
      </x:c>
      <x:c r="AN4" s="133" t="str">
        <x:v>TATUS Baraj Gözlem Point</x:v>
      </x:c>
      <x:c r="AO4" s="133" t="str">
        <x:v>ADATEPE</x:v>
      </x:c>
      <x:c r="AP4" s="133" t="n">
        <x:v>1</x:v>
      </x:c>
      <x:c r="AQ4" s="134" t="n">
        <x:v>38.1078</x:v>
      </x:c>
      <x:c r="AR4" s="134" t="n">
        <x:v>36.73953</x:v>
      </x:c>
      <x:c r="AS4" s="133" t="str">
        <x:v>{"type": "Point", "coordinates": [36.73953, 38.1078]}</x:v>
      </x:c>
      <x:c r="AT4" s="133" t="str">
        <x:v>https://cbs1.tarimorman.gov.tr/server/rest/services/TATUS/FeatureServer/7/query?where=HAVZA_ID%3D20+AND+%28BarajAdi%3D%27ADATEPE%27%29&amp;outFields=OBJECTID%2CBarajAdi%2CHavzaAdi%2CHAVZA_ID%2CIl&amp;returnGeometry=true&amp;outSR=4326&amp;f=geojson</x:v>
      </x:c>
      <x:c r="AU4" s="133" t="str">
        <x:v>Ceyhan</x:v>
      </x:c>
      <x:c r="AV4" s="133" t="str">
        <x:v>Polyline / LineString</x:v>
      </x:c>
      <x:c r="AW4" s="133" t="str">
        <x:v>https://cbs1.tarimorman.gov.tr/server/rest/services/TATUS/FeatureServer/8/query?where=HAVZA_ID%3D20&amp;geometry=36.739530%2C38.107800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" s="133" t="str">
        <x:v>Havza ana akarsuyu ön-eşleme; TATUS spatial query ile doğrulanmalı</x:v>
      </x:c>
      <x:c r="AY4" s="133" t="str">
        <x:v>Polygon</x:v>
      </x:c>
      <x:c r="AZ4" s="133" t="str">
        <x:v>https://cbs1.tarimorman.gov.tr/server/rest/services/TATUS/FeatureServer/9/query?where=1%3D1&amp;geometry=36.739530%2C38.107800&amp;geometryType=esriGeometryPoint&amp;inSR=4326&amp;spatialRel=esriSpatialRelIntersects&amp;outFields=%2A&amp;returnGeometry=true&amp;outSR=4326&amp;resultRecordCount=5&amp;f=geojson</x:v>
      </x:c>
      <x:c r="BA4" s="133" t="str">
        <x:v>Santral popup: Su alanını göster</x:v>
      </x:c>
      <x:c r="BB4" s="133" t="str">
        <x:v>Yüksek</x:v>
      </x:c>
      <x:c r="BC4" s="133"/>
    </x:row>
    <x:row r="5" ht="30" customHeight="1">
      <x:c r="A5" s="100" t="n">
        <x:v>2</x:v>
      </x:c>
      <x:c r="B5" s="32" t="str">
        <x:v>ADIGÜZEL2 HES</x:v>
      </x:c>
      <x:c r="C5" s="32" t="str">
        <x:v>Büyük Menderes</x:v>
      </x:c>
      <x:c r="D5" s="32" t="str">
        <x:v>Büyük Menderes</x:v>
      </x:c>
      <x:c r="E5" s="34" t="n">
        <x:v>7</x:v>
      </x:c>
      <x:c r="F5" s="32" t="str">
        <x:v>https://cbs1.tarimorman.gov.tr/server/rest/services/TATUS/FeatureServer/11/query?where=ID%3D7&amp;outFields=ID%2CHAVZA_ADI%2CALAN_KM2&amp;returnGeometry=true&amp;outSR=4326&amp;f=geojson</x:v>
      </x:c>
      <x:c r="G5" s="32" t="str">
        <x:v>ADIGÜZEL-2 HES</x:v>
      </x:c>
      <x:c r="H5" s="32" t="str">
        <x:v>DENİZLİ</x:v>
      </x:c>
      <x:c r="I5" s="36" t="n">
        <x:v>38.13667</x:v>
      </x:c>
      <x:c r="J5" s="36" t="n">
        <x:v>29.15691</x:v>
      </x:c>
      <x:c r="K5" s="38" t="n">
        <x:v>318</x:v>
      </x:c>
      <x:c r="L5" s="38" t="n">
        <x:v>310</x:v>
      </x:c>
      <x:c r="M5" s="32"/>
      <x:c r="N5" s="38" t="n">
        <x:v>30.1</x:v>
      </x:c>
      <x:c r="O5" s="38" t="n">
        <x:v>66</x:v>
      </x:c>
      <x:c r="P5" s="38" t="n">
        <x:v>15.25</x:v>
      </x:c>
      <x:c r="Q5" s="38" t="n">
        <x:v>9.73</x:v>
      </x:c>
      <x:c r="R5" s="38" t="n">
        <x:v>0.09</x:v>
      </x:c>
      <x:c r="S5" s="38" t="n">
        <x:v>0.01</x:v>
      </x:c>
      <x:c r="T5" s="40" t="n">
        <x:v>46278.81434027778</x:v>
      </x:c>
      <x:c r="U5" s="32" t="str">
        <x:v>alias</x:v>
      </x:c>
      <x:c r="V5" s="32" t="str">
        <x:v>A</x:v>
      </x:c>
      <x:c r="W5" s="32" t="str">
        <x:v>Yüklü Debi_ve_Kurulu_Guc-13092026.xlsx</x:v>
      </x:c>
      <x:c r="X5" s="32" t="str">
        <x:v>Yüklü Debi_ve_Kurulu_Guc-13092026.xlsx</x:v>
      </x:c>
      <x:c r="Y5" s="32" t="str">
        <x:v>https://cbs1.tarimorman.gov.tr/server/rest/services/TATUS/FeatureServer/7</x:v>
      </x:c>
      <x:c r="Z5" s="32" t="str">
        <x:v>10</x:v>
      </x:c>
      <x:c r="AA5" s="101" t="str">
        <x:v>Baraj adı eşleşmesi: ADIGÜZEL-2 HES; Kaskat alanında kaynak değeri '10' (belirsiz/sentinel)</x:v>
      </x:c>
      <x:c r="AB5" s="133" t="str">
        <x:v>Doğrulanmış koordinat mevcut</x:v>
      </x:c>
      <x:c r="AC5" s="133" t="str">
        <x:v>HES / baraj noktası</x:v>
      </x:c>
      <x:c r="AD5" s="133"/>
      <x:c r="AE5" s="133"/>
      <x:c r="AF5" s="133"/>
      <x:c r="AG5" s="134"/>
      <x:c r="AH5" s="134"/>
      <x:c r="AI5" s="133"/>
      <x:c r="AJ5" s="133"/>
      <x:c r="AK5" s="135"/>
      <x:c r="AL5" s="133" t="str">
        <x:v>Point</x:v>
      </x:c>
      <x:c r="AM5" s="133" t="str">
        <x:v>{"type": "Point", "coordinates": [29.15691, 38.13667]}</x:v>
      </x:c>
      <x:c r="AN5" s="133" t="str">
        <x:v>TATUS Baraj Gözlem Point</x:v>
      </x:c>
      <x:c r="AO5" s="133" t="str">
        <x:v>ADIGÜZEL-2 HES</x:v>
      </x:c>
      <x:c r="AP5" s="133" t="n">
        <x:v>1</x:v>
      </x:c>
      <x:c r="AQ5" s="134" t="n">
        <x:v>38.13667</x:v>
      </x:c>
      <x:c r="AR5" s="134" t="n">
        <x:v>29.15691</x:v>
      </x:c>
      <x:c r="AS5" s="133" t="str">
        <x:v>{"type": "Point", "coordinates": [29.15691, 38.13667]}</x:v>
      </x:c>
      <x:c r="AT5" s="133" t="str">
        <x:v>https://cbs1.tarimorman.gov.tr/server/rest/services/TATUS/FeatureServer/7/query?where=HAVZA_ID%3D7+AND+%28BarajAdi%3D%27ADIG%C3%9CZEL-2+HES%27+OR+BarajAdi%3D%27ADIG%C3%9CZEL2%27%29&amp;outFields=OBJECTID%2CBarajAdi%2CHavzaAdi%2CHAVZA_ID%2CIl&amp;returnGeometry=true&amp;outSR=4326&amp;f=geojson</x:v>
      </x:c>
      <x:c r="AU5" s="133" t="str">
        <x:v>Büyük Menderes</x:v>
      </x:c>
      <x:c r="AV5" s="133" t="str">
        <x:v>Polyline / LineString</x:v>
      </x:c>
      <x:c r="AW5" s="133" t="str">
        <x:v>https://cbs1.tarimorman.gov.tr/server/rest/services/TATUS/FeatureServer/8/query?where=HAVZA_ID%3D7&amp;geometry=29.156910%2C38.136670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" s="133" t="str">
        <x:v>Havza ana akarsuyu ön-eşleme; TATUS spatial query ile doğrulanmalı</x:v>
      </x:c>
      <x:c r="AY5" s="133" t="str">
        <x:v>Polygon</x:v>
      </x:c>
      <x:c r="AZ5" s="133" t="str">
        <x:v>https://cbs1.tarimorman.gov.tr/server/rest/services/TATUS/FeatureServer/9/query?where=1%3D1&amp;geometry=29.156910%2C38.136670&amp;geometryType=esriGeometryPoint&amp;inSR=4326&amp;spatialRel=esriSpatialRelIntersects&amp;outFields=%2A&amp;returnGeometry=true&amp;outSR=4326&amp;resultRecordCount=5&amp;f=geojson</x:v>
      </x:c>
      <x:c r="BA5" s="133" t="str">
        <x:v>Santral popup: Su alanını göster</x:v>
      </x:c>
      <x:c r="BB5" s="133" t="str">
        <x:v>Yüksek</x:v>
      </x:c>
      <x:c r="BC5" s="133"/>
    </x:row>
    <x:row r="6" ht="30" customHeight="1">
      <x:c r="A6" s="100" t="n">
        <x:v>3</x:v>
      </x:c>
      <x:c r="B6" s="32" t="str">
        <x:v>ADIGÜZEL HES</x:v>
      </x:c>
      <x:c r="C6" s="32" t="str">
        <x:v>Büyük Menderes</x:v>
      </x:c>
      <x:c r="D6" s="32" t="str">
        <x:v>Büyük Menderes</x:v>
      </x:c>
      <x:c r="E6" s="34" t="n">
        <x:v>7</x:v>
      </x:c>
      <x:c r="F6" s="32" t="str">
        <x:v>https://cbs1.tarimorman.gov.tr/server/rest/services/TATUS/FeatureServer/11/query?where=ID%3D7&amp;outFields=ID%2CHAVZA_ADI%2CALAN_KM2&amp;returnGeometry=true&amp;outSR=4326&amp;f=geojson</x:v>
      </x:c>
      <x:c r="G6" s="32" t="str">
        <x:v>ADIGÜZEL</x:v>
      </x:c>
      <x:c r="H6" s="32" t="str">
        <x:v>DENİZLİ</x:v>
      </x:c>
      <x:c r="I6" s="36" t="n">
        <x:v>38.15861</x:v>
      </x:c>
      <x:c r="J6" s="36" t="n">
        <x:v>29.20555</x:v>
      </x:c>
      <x:c r="K6" s="38" t="n">
        <x:v>453</x:v>
      </x:c>
      <x:c r="L6" s="38" t="n">
        <x:v>406</x:v>
      </x:c>
      <x:c r="M6" s="32"/>
      <x:c r="N6" s="38" t="n">
        <x:v>62</x:v>
      </x:c>
      <x:c r="O6" s="38" t="n">
        <x:v>66</x:v>
      </x:c>
      <x:c r="P6" s="38" t="n">
        <x:v>1032.26</x:v>
      </x:c>
      <x:c r="Q6" s="38" t="n">
        <x:v>226.44</x:v>
      </x:c>
      <x:c r="R6" s="38"/>
      <x:c r="S6" s="38"/>
      <x:c r="T6" s="40" t="n">
        <x:v>46278.81434027778</x:v>
      </x:c>
      <x:c r="U6" s="32" t="str">
        <x:v>exact</x:v>
      </x:c>
      <x:c r="V6" s="32" t="str">
        <x:v>A</x:v>
      </x:c>
      <x:c r="W6" s="32" t="str">
        <x:v>Yüklü Debi_ve_Kurulu_Guc-13092026.xlsx</x:v>
      </x:c>
      <x:c r="X6" s="32" t="str">
        <x:v>Yüklü Debi_ve_Kurulu_Guc-13092026.xlsx</x:v>
      </x:c>
      <x:c r="Y6" s="32" t="str">
        <x:v>https://cbs1.tarimorman.gov.tr/server/rest/services/TATUS/FeatureServer/7</x:v>
      </x:c>
      <x:c r="Z6" s="32" t="str">
        <x:v>10</x:v>
      </x:c>
      <x:c r="AA6" s="101" t="str">
        <x:v>Kaskat alanında kaynak değeri '10' (belirsiz/sentinel)</x:v>
      </x:c>
      <x:c r="AB6" s="133" t="str">
        <x:v>Doğrulanmış koordinat mevcut</x:v>
      </x:c>
      <x:c r="AC6" s="133" t="str">
        <x:v>HES / baraj noktası</x:v>
      </x:c>
      <x:c r="AD6" s="133" t="n">
        <x:v>570</x:v>
      </x:c>
      <x:c r="AE6" s="133" t="str">
        <x:v>ADIGÜZEL HES</x:v>
      </x:c>
      <x:c r="AF6" s="133" t="str">
        <x:v>Denizli</x:v>
      </x:c>
      <x:c r="AG6" s="134" t="n">
        <x:v>38.152</x:v>
      </x:c>
      <x:c r="AH6" s="134" t="n">
        <x:v>29.206</x:v>
      </x:c>
      <x:c r="AI6" s="133" t="str">
        <x:v>Tam ad eşleşmesi</x:v>
      </x:c>
      <x:c r="AJ6" s="133" t="str">
        <x:v>Yüksek</x:v>
      </x:c>
      <x:c r="AK6" s="135" t="n">
        <x:v>0.736</x:v>
      </x:c>
      <x:c r="AL6" s="133" t="str">
        <x:v>Point</x:v>
      </x:c>
      <x:c r="AM6" s="133" t="str">
        <x:v>{"type": "Point", "coordinates": [29.20555, 38.15861]}</x:v>
      </x:c>
      <x:c r="AN6" s="133" t="str">
        <x:v>TATUS Baraj Gözlem Point</x:v>
      </x:c>
      <x:c r="AO6" s="133" t="str">
        <x:v>ADIGÜZEL</x:v>
      </x:c>
      <x:c r="AP6" s="133" t="n">
        <x:v>1</x:v>
      </x:c>
      <x:c r="AQ6" s="134" t="n">
        <x:v>38.15861</x:v>
      </x:c>
      <x:c r="AR6" s="134" t="n">
        <x:v>29.20555</x:v>
      </x:c>
      <x:c r="AS6" s="133" t="str">
        <x:v>{"type": "Point", "coordinates": [29.20555, 38.15861]}</x:v>
      </x:c>
      <x:c r="AT6" s="133" t="str">
        <x:v>https://cbs1.tarimorman.gov.tr/server/rest/services/TATUS/FeatureServer/7/query?where=HAVZA_ID%3D7+AND+%28BarajAdi%3D%27ADIG%C3%9CZEL%27%29&amp;outFields=OBJECTID%2CBarajAdi%2CHavzaAdi%2CHAVZA_ID%2CIl&amp;returnGeometry=true&amp;outSR=4326&amp;f=geojson</x:v>
      </x:c>
      <x:c r="AU6" s="133" t="str">
        <x:v>Büyük Menderes</x:v>
      </x:c>
      <x:c r="AV6" s="133" t="str">
        <x:v>Polyline / LineString</x:v>
      </x:c>
      <x:c r="AW6" s="133" t="str">
        <x:v>https://cbs1.tarimorman.gov.tr/server/rest/services/TATUS/FeatureServer/8/query?where=HAVZA_ID%3D7&amp;geometry=29.205550%2C38.158610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" s="133" t="str">
        <x:v>Havza ana akarsuyu ön-eşleme; TATUS spatial query ile doğrulanmalı</x:v>
      </x:c>
      <x:c r="AY6" s="133" t="str">
        <x:v>Polygon</x:v>
      </x:c>
      <x:c r="AZ6" s="133" t="str">
        <x:v>https://cbs1.tarimorman.gov.tr/server/rest/services/TATUS/FeatureServer/9/query?where=1%3D1&amp;geometry=29.205550%2C38.158610&amp;geometryType=esriGeometryPoint&amp;inSR=4326&amp;spatialRel=esriSpatialRelIntersects&amp;outFields=%2A&amp;returnGeometry=true&amp;outSR=4326&amp;resultRecordCount=5&amp;f=geojson</x:v>
      </x:c>
      <x:c r="BA6" s="133" t="str">
        <x:v>Santral popup: Su alanını göster</x:v>
      </x:c>
      <x:c r="BB6" s="133" t="str">
        <x:v>Yüksek</x:v>
      </x:c>
      <x:c r="BC6" s="133"/>
    </x:row>
    <x:row r="7" ht="30" customHeight="1">
      <x:c r="A7" s="100" t="n">
        <x:v>4</x:v>
      </x:c>
      <x:c r="B7" s="32" t="str">
        <x:v>AKKÖPRÜ HES</x:v>
      </x:c>
      <x:c r="C7" s="32" t="str">
        <x:v>Batı Akdeniz</x:v>
      </x:c>
      <x:c r="D7" s="32" t="str">
        <x:v>Batı Akdeniz</x:v>
      </x:c>
      <x:c r="E7" s="34" t="n">
        <x:v>8</x:v>
      </x:c>
      <x:c r="F7" s="32" t="str">
        <x:v>https://cbs1.tarimorman.gov.tr/server/rest/services/TATUS/FeatureServer/11/query?where=ID%3D8&amp;outFields=ID%2CHAVZA_ADI%2CALAN_KM2&amp;returnGeometry=true&amp;outSR=4326&amp;f=geojson</x:v>
      </x:c>
      <x:c r="G7" s="32" t="str">
        <x:v>AKKÖPRÜ</x:v>
      </x:c>
      <x:c r="H7" s="32" t="str">
        <x:v>MUĞLA</x:v>
      </x:c>
      <x:c r="I7" s="36" t="n">
        <x:v>36.899</x:v>
      </x:c>
      <x:c r="J7" s="36" t="n">
        <x:v>28.897</x:v>
      </x:c>
      <x:c r="K7" s="38" t="n">
        <x:v>204</x:v>
      </x:c>
      <x:c r="L7" s="38" t="n">
        <x:v>140</x:v>
      </x:c>
      <x:c r="M7" s="32"/>
      <x:c r="N7" s="38" t="n">
        <x:v>118.6</x:v>
      </x:c>
      <x:c r="O7" s="38" t="n">
        <x:v>150</x:v>
      </x:c>
      <x:c r="P7" s="38" t="n">
        <x:v>419.2</x:v>
      </x:c>
      <x:c r="Q7" s="38" t="n">
        <x:v>195.81</x:v>
      </x:c>
      <x:c r="R7" s="38" t="n">
        <x:v>12.49</x:v>
      </x:c>
      <x:c r="S7" s="38" t="n">
        <x:v>2.38</x:v>
      </x:c>
      <x:c r="T7" s="40" t="n">
        <x:v>46278.81434027778</x:v>
      </x:c>
      <x:c r="U7" s="32" t="str">
        <x:v>exact</x:v>
      </x:c>
      <x:c r="V7" s="32" t="str">
        <x:v>B</x:v>
      </x:c>
      <x:c r="W7" s="32" t="str">
        <x:v>Yüklü Debi_ve_Kurulu_Guc-13092026.xlsx</x:v>
      </x:c>
      <x:c r="X7" s="32" t="str">
        <x:v>Yüklü Debi_ve_Kurulu_Guc-13092026.xlsx</x:v>
      </x:c>
      <x:c r="Y7" s="32" t="str">
        <x:v>hes_MERKEZI_LISTESI.xlsx — trafo merkezi koordinatı (yaklaşık)</x:v>
      </x:c>
      <x:c r="Z7" s="32" t="str">
        <x:v>10</x:v>
      </x:c>
      <x:c r="AA7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7" s="133" t="str">
        <x:v>Trafo merkezi koordinatı ile tamamlandı</x:v>
      </x:c>
      <x:c r="AC7" s="133" t="str">
        <x:v>Trafo merkezi / elektrik bağlantı noktası (yaklaşık)</x:v>
      </x:c>
      <x:c r="AD7" s="133" t="n">
        <x:v>456</x:v>
      </x:c>
      <x:c r="AE7" s="133" t="str">
        <x:v>AKKÖPRÜ HES</x:v>
      </x:c>
      <x:c r="AF7" s="133" t="str">
        <x:v>Muğla</x:v>
      </x:c>
      <x:c r="AG7" s="134" t="n">
        <x:v>36.899</x:v>
      </x:c>
      <x:c r="AH7" s="134" t="n">
        <x:v>28.897</x:v>
      </x:c>
      <x:c r="AI7" s="133" t="str">
        <x:v>Tam ad eşleşmesi</x:v>
      </x:c>
      <x:c r="AJ7" s="133" t="str">
        <x:v>Yüksek</x:v>
      </x:c>
      <x:c r="AK7" s="135"/>
      <x:c r="AL7" s="133" t="str">
        <x:v>Point</x:v>
      </x:c>
      <x:c r="AM7" s="133" t="str">
        <x:v>{"type": "Point", "coordinates": [28.897, 36.899]}</x:v>
      </x:c>
      <x:c r="AN7" s="133" t="str">
        <x:v>Trafo merkezi / elektrik bağlantı noktası (yaklaşık)</x:v>
      </x:c>
      <x:c r="AO7" s="133"/>
      <x:c r="AP7" s="133"/>
      <x:c r="AQ7" s="134"/>
      <x:c r="AR7" s="134"/>
      <x:c r="AS7" s="133"/>
      <x:c r="AT7" s="133" t="str">
        <x:v>https://cbs1.tarimorman.gov.tr/server/rest/services/TATUS/FeatureServer/7/query?where=HAVZA_ID%3D8+AND+%28BarajAdi%3D%27AKK%C3%96PR%C3%9C%27%29&amp;outFields=OBJECTID%2CBarajAdi%2CHavzaAdi%2CHAVZA_ID%2CIl&amp;returnGeometry=true&amp;outSR=4326&amp;f=geojson</x:v>
      </x:c>
      <x:c r="AU7" s="133"/>
      <x:c r="AV7" s="133" t="str">
        <x:v>Polyline / LineString</x:v>
      </x:c>
      <x:c r="AW7" s="133" t="str">
        <x:v>https://cbs1.tarimorman.gov.tr/server/rest/services/TATUS/FeatureServer/8/query?where=HAVZA_ID%3D8&amp;geometry=28.897000%2C36.899000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" s="133" t="str">
        <x:v>TATUS spatial query hazır; en yakın/uygun LineString seçilmeli</x:v>
      </x:c>
      <x:c r="AY7" s="133" t="str">
        <x:v>Polygon</x:v>
      </x:c>
      <x:c r="AZ7" s="133" t="str">
        <x:v>https://cbs1.tarimorman.gov.tr/server/rest/services/TATUS/FeatureServer/9/query?where=1%3D1&amp;geometry=28.897000%2C36.899000&amp;geometryType=esriGeometryPoint&amp;inSR=4326&amp;spatialRel=esriSpatialRelIntersects&amp;outFields=%2A&amp;returnGeometry=true&amp;outSR=4326&amp;resultRecordCount=5&amp;f=geojson</x:v>
      </x:c>
      <x:c r="BA7" s="133" t="str">
        <x:v>Santral popup: Su alanını göster</x:v>
      </x:c>
      <x:c r="BB7" s="133" t="str">
        <x:v>Orta-Düşük</x:v>
      </x:c>
      <x:c r="BC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8" ht="30" customHeight="1">
      <x:c r="A8" s="100" t="n">
        <x:v>5</x:v>
      </x:c>
      <x:c r="B8" s="32" t="str">
        <x:v>AKKÖY1 HES</x:v>
      </x:c>
      <x:c r="C8" s="32" t="str">
        <x:v>Doğu Karadeniz</x:v>
      </x:c>
      <x:c r="D8" s="32" t="str">
        <x:v>Doğu Karadeniz</x:v>
      </x:c>
      <x:c r="E8" s="34" t="n">
        <x:v>22</x:v>
      </x:c>
      <x:c r="F8" s="32" t="str">
        <x:v>https://cbs1.tarimorman.gov.tr/server/rest/services/TATUS/FeatureServer/11/query?where=ID%3D22&amp;outFields=ID%2CHAVZA_ADI%2CALAN_KM2&amp;returnGeometry=true&amp;outSR=4326&amp;f=geojson</x:v>
      </x:c>
      <x:c r="G8" s="32" t="str">
        <x:v>AKKÖY 1</x:v>
      </x:c>
      <x:c r="H8" s="32" t="str">
        <x:v>GÜMÜŞHANE</x:v>
      </x:c>
      <x:c r="I8" s="36" t="n">
        <x:v>40.69314</x:v>
      </x:c>
      <x:c r="J8" s="36" t="n">
        <x:v>39.09545</x:v>
      </x:c>
      <x:c r="K8" s="38" t="n">
        <x:v>545</x:v>
      </x:c>
      <x:c r="L8" s="38" t="n">
        <x:v>530</x:v>
      </x:c>
      <x:c r="M8" s="32"/>
      <x:c r="N8" s="38" t="n">
        <x:v>101.9</x:v>
      </x:c>
      <x:c r="O8" s="38" t="n">
        <x:v>90</x:v>
      </x:c>
      <x:c r="P8" s="38" t="n">
        <x:v>3.34</x:v>
      </x:c>
      <x:c r="Q8" s="38" t="n">
        <x:v>0.62</x:v>
      </x:c>
      <x:c r="R8" s="38"/>
      <x:c r="S8" s="38"/>
      <x:c r="T8" s="40" t="n">
        <x:v>46278.81434027778</x:v>
      </x:c>
      <x:c r="U8" s="32" t="str">
        <x:v>exact</x:v>
      </x:c>
      <x:c r="V8" s="32" t="str">
        <x:v>A</x:v>
      </x:c>
      <x:c r="W8" s="32" t="str">
        <x:v>Yüklü Debi_ve_Kurulu_Guc-13092026.xlsx</x:v>
      </x:c>
      <x:c r="X8" s="32" t="str">
        <x:v>Yüklü Debi_ve_Kurulu_Guc-13092026.xlsx</x:v>
      </x:c>
      <x:c r="Y8" s="32" t="str">
        <x:v>https://cbs1.tarimorman.gov.tr/server/rest/services/TATUS/FeatureServer/7</x:v>
      </x:c>
      <x:c r="Z8" s="32" t="str">
        <x:v>10</x:v>
      </x:c>
      <x:c r="AA8" s="101" t="str">
        <x:v>Kaskat alanında kaynak değeri '10' (belirsiz/sentinel)</x:v>
      </x:c>
      <x:c r="AB8" s="133" t="str">
        <x:v>Doğrulanmış koordinat mevcut</x:v>
      </x:c>
      <x:c r="AC8" s="133" t="str">
        <x:v>HES / baraj noktası</x:v>
      </x:c>
      <x:c r="AD8" s="133"/>
      <x:c r="AE8" s="133"/>
      <x:c r="AF8" s="133"/>
      <x:c r="AG8" s="134"/>
      <x:c r="AH8" s="134"/>
      <x:c r="AI8" s="133"/>
      <x:c r="AJ8" s="133"/>
      <x:c r="AK8" s="135"/>
      <x:c r="AL8" s="133" t="str">
        <x:v>Point</x:v>
      </x:c>
      <x:c r="AM8" s="133" t="str">
        <x:v>{"type": "Point", "coordinates": [39.09545, 40.69314]}</x:v>
      </x:c>
      <x:c r="AN8" s="133" t="str">
        <x:v>TATUS Baraj Gözlem Point</x:v>
      </x:c>
      <x:c r="AO8" s="133" t="str">
        <x:v>AKKÖY 1</x:v>
      </x:c>
      <x:c r="AP8" s="133" t="n">
        <x:v>1</x:v>
      </x:c>
      <x:c r="AQ8" s="134" t="n">
        <x:v>40.69314</x:v>
      </x:c>
      <x:c r="AR8" s="134" t="n">
        <x:v>39.09545</x:v>
      </x:c>
      <x:c r="AS8" s="133" t="str">
        <x:v>{"type": "Point", "coordinates": [39.09545, 40.69314]}</x:v>
      </x:c>
      <x:c r="AT8" s="133" t="str">
        <x:v>https://cbs1.tarimorman.gov.tr/server/rest/services/TATUS/FeatureServer/7/query?where=HAVZA_ID%3D22+AND+%28BarajAdi%3D%27AKK%C3%96Y+1%27+OR+BarajAdi%3D%27AKK%C3%96Y1%27%29&amp;outFields=OBJECTID%2CBarajAdi%2CHavzaAdi%2CHAVZA_ID%2CIl&amp;returnGeometry=true&amp;outSR=4326&amp;f=geojson</x:v>
      </x:c>
      <x:c r="AU8" s="133"/>
      <x:c r="AV8" s="133" t="str">
        <x:v>Polyline / LineString</x:v>
      </x:c>
      <x:c r="AW8" s="133" t="str">
        <x:v>https://cbs1.tarimorman.gov.tr/server/rest/services/TATUS/FeatureServer/8/query?where=HAVZA_ID%3D22&amp;geometry=39.095450%2C40.693140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" s="133" t="str">
        <x:v>TATUS spatial query hazır; en yakın/uygun LineString seçilmeli</x:v>
      </x:c>
      <x:c r="AY8" s="133" t="str">
        <x:v>Polygon</x:v>
      </x:c>
      <x:c r="AZ8" s="133" t="str">
        <x:v>https://cbs1.tarimorman.gov.tr/server/rest/services/TATUS/FeatureServer/9/query?where=1%3D1&amp;geometry=39.095450%2C40.693140&amp;geometryType=esriGeometryPoint&amp;inSR=4326&amp;spatialRel=esriSpatialRelIntersects&amp;outFields=%2A&amp;returnGeometry=true&amp;outSR=4326&amp;resultRecordCount=5&amp;f=geojson</x:v>
      </x:c>
      <x:c r="BA8" s="133" t="str">
        <x:v>Santral popup: Su alanını göster</x:v>
      </x:c>
      <x:c r="BB8" s="133" t="str">
        <x:v>Yüksek</x:v>
      </x:c>
      <x:c r="BC8" s="133"/>
    </x:row>
    <x:row r="9" ht="30" customHeight="1">
      <x:c r="A9" s="100" t="n">
        <x:v>6</x:v>
      </x:c>
      <x:c r="B9" s="32" t="str">
        <x:v>AKKÖY2 HES</x:v>
      </x:c>
      <x:c r="C9" s="32" t="str">
        <x:v>Doğu Karadeniz</x:v>
      </x:c>
      <x:c r="D9" s="32" t="str">
        <x:v>Doğu Karadeniz</x:v>
      </x:c>
      <x:c r="E9" s="34" t="n">
        <x:v>22</x:v>
      </x:c>
      <x:c r="F9" s="32" t="str">
        <x:v>https://cbs1.tarimorman.gov.tr/server/rest/services/TATUS/FeatureServer/11/query?where=ID%3D22&amp;outFields=ID%2CHAVZA_ADI%2CALAN_KM2&amp;returnGeometry=true&amp;outSR=4326&amp;f=geojson</x:v>
      </x:c>
      <x:c r="G9" s="32" t="str">
        <x:v>AKKÖY2</x:v>
      </x:c>
      <x:c r="H9" s="32" t="str">
        <x:v>GÜMÜŞHANE</x:v>
      </x:c>
      <x:c r="I9" s="36" t="n">
        <x:v>40.73784</x:v>
      </x:c>
      <x:c r="J9" s="36" t="n">
        <x:v>38.9909</x:v>
      </x:c>
      <x:c r="K9" s="38" t="n">
        <x:v>1627</x:v>
      </x:c>
      <x:c r="L9" s="38" t="n">
        <x:v>1588</x:v>
      </x:c>
      <x:c r="M9" s="32"/>
      <x:c r="N9" s="38" t="n">
        <x:v>229.68</x:v>
      </x:c>
      <x:c r="O9" s="38"/>
      <x:c r="P9" s="38"/>
      <x:c r="Q9" s="38"/>
      <x:c r="R9" s="38"/>
      <x:c r="S9" s="38"/>
      <x:c r="T9" s="40"/>
      <x:c r="U9" s="32" t="str">
        <x:v>eşleşme yok</x:v>
      </x:c>
      <x:c r="V9" s="32" t="str">
        <x:v>B</x:v>
      </x:c>
      <x:c r="W9" s="32" t="str">
        <x:v>https://www.enerjiatlasi.com/hidroelektrik/akkoy-baraji.html</x:v>
      </x:c>
      <x:c r="X9" s="32" t="str">
        <x:v>https://www.enerjiatlasi.com/hidroelektrik/akkoy-baraji.html</x:v>
      </x:c>
      <x:c r="Y9" s="32" t="str">
        <x:v>https://mapcarta.com/W186482628</x:v>
      </x:c>
      <x:c r="Z9" s="32" t="str">
        <x:v>10</x:v>
      </x:c>
      <x:c r="AA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Koordinat OSM tabanlı ikincil kaynak; Ünite debisi doğrulanamadı; Maksimum/minimum hacim doğrulanamadı</x:v>
      </x:c>
      <x:c r="AB9" s="133" t="str">
        <x:v>Doğrulanmış koordinat mevcut</x:v>
      </x:c>
      <x:c r="AC9" s="133" t="str">
        <x:v>HES / baraj noktası</x:v>
      </x:c>
      <x:c r="AD9" s="133"/>
      <x:c r="AE9" s="133"/>
      <x:c r="AF9" s="133"/>
      <x:c r="AG9" s="134"/>
      <x:c r="AH9" s="134"/>
      <x:c r="AI9" s="133"/>
      <x:c r="AJ9" s="133"/>
      <x:c r="AK9" s="135"/>
      <x:c r="AL9" s="133" t="str">
        <x:v>Point</x:v>
      </x:c>
      <x:c r="AM9" s="133" t="str">
        <x:v>{"type": "Point", "coordinates": [38.9909, 40.73784]}</x:v>
      </x:c>
      <x:c r="AN9" s="133" t="str">
        <x:v>HES / baraj noktası</x:v>
      </x:c>
      <x:c r="AO9" s="133"/>
      <x:c r="AP9" s="133"/>
      <x:c r="AQ9" s="134"/>
      <x:c r="AR9" s="134"/>
      <x:c r="AS9" s="133"/>
      <x:c r="AT9" s="133" t="str">
        <x:v>https://cbs1.tarimorman.gov.tr/server/rest/services/TATUS/FeatureServer/7/query?where=HAVZA_ID%3D22+AND+%28BarajAdi%3D%27AKK%C3%96Y2%27%29&amp;outFields=OBJECTID%2CBarajAdi%2CHavzaAdi%2CHAVZA_ID%2CIl&amp;returnGeometry=true&amp;outSR=4326&amp;f=geojson</x:v>
      </x:c>
      <x:c r="AU9" s="133"/>
      <x:c r="AV9" s="133" t="str">
        <x:v>Polyline / LineString</x:v>
      </x:c>
      <x:c r="AW9" s="133" t="str">
        <x:v>https://cbs1.tarimorman.gov.tr/server/rest/services/TATUS/FeatureServer/8/query?where=HAVZA_ID%3D22&amp;geometry=38.990900%2C40.737840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" s="133" t="str">
        <x:v>TATUS spatial query hazır; en yakın/uygun LineString seçilmeli</x:v>
      </x:c>
      <x:c r="AY9" s="133" t="str">
        <x:v>Polygon</x:v>
      </x:c>
      <x:c r="AZ9" s="133" t="str">
        <x:v>https://cbs1.tarimorman.gov.tr/server/rest/services/TATUS/FeatureServer/9/query?where=1%3D1&amp;geometry=38.990900%2C40.737840&amp;geometryType=esriGeometryPoint&amp;inSR=4326&amp;spatialRel=esriSpatialRelIntersects&amp;outFields=%2A&amp;returnGeometry=true&amp;outSR=4326&amp;resultRecordCount=5&amp;f=geojson</x:v>
      </x:c>
      <x:c r="BA9" s="133" t="str">
        <x:v>Santral popup: Su alanını göster</x:v>
      </x:c>
      <x:c r="BB9" s="133" t="str">
        <x:v>Yüksek</x:v>
      </x:c>
      <x:c r="BC9" s="133" t="str">
        <x:v>TATUS baraj point doğrudan eşleşmesi bu çalışma kitabında çözülmedi; sorgu URL'si eklendi</x:v>
      </x:c>
    </x:row>
    <x:row r="10" ht="30" customHeight="1">
      <x:c r="A10" s="100" t="n">
        <x:v>7</x:v>
      </x:c>
      <x:c r="B10" s="32" t="str">
        <x:v>AKŞAR NAZAR HES</x:v>
      </x:c>
      <x:c r="C10" s="32" t="str">
        <x:v>Fırat Dicle</x:v>
      </x:c>
      <x:c r="D10" s="32" t="str">
        <x:v>Fırat-Dicle</x:v>
      </x:c>
      <x:c r="E10" s="34" t="n">
        <x:v>21</x:v>
      </x:c>
      <x:c r="F10" s="32" t="str">
        <x:v>https://cbs1.tarimorman.gov.tr/server/rest/services/TATUS/FeatureServer/11/query?where=ID%3D21&amp;outFields=ID%2CHAVZA_ADI%2CALAN_KM2&amp;returnGeometry=true&amp;outSR=4326&amp;f=geojson</x:v>
      </x:c>
      <x:c r="G10" s="32" t="str">
        <x:v>AKŞAR NAZAR</x:v>
      </x:c>
      <x:c r="H10" s="32" t="str">
        <x:v>BİTLİS</x:v>
      </x:c>
      <x:c r="I10" s="36" t="n">
        <x:v>38.14</x:v>
      </x:c>
      <x:c r="J10" s="36" t="n">
        <x:v>42.429</x:v>
      </x:c>
      <x:c r="K10" s="38" t="n">
        <x:v>1126</x:v>
      </x:c>
      <x:c r="L10" s="38" t="n">
        <x:v>1122</x:v>
      </x:c>
      <x:c r="M10" s="32"/>
      <x:c r="N10" s="38" t="n">
        <x:v>30.24</x:v>
      </x:c>
      <x:c r="O10" s="38"/>
      <x:c r="P10" s="38"/>
      <x:c r="Q10" s="38"/>
      <x:c r="R10" s="38"/>
      <x:c r="S10" s="38"/>
      <x:c r="T10" s="40"/>
      <x:c r="U10" s="32" t="str">
        <x:v>eşleşme yok</x:v>
      </x:c>
      <x:c r="V10" s="32" t="str">
        <x:v>C</x:v>
      </x:c>
      <x:c r="W10" s="32" t="str">
        <x:v>https://turkiyebarajlar.com/santral-arizasi/97211-aksar-nazar-enerji-uretim-as-aksar-nazar-hes</x:v>
      </x:c>
      <x:c r="X10" s="32" t="str">
        <x:v>https://turkiyebarajlar.com/santral-arizasi/97211-aksar-nazar-enerji-uretim-as-aksar-nazar-hes</x:v>
      </x:c>
      <x:c r="Y10" s="32" t="str">
        <x:v>hes_MERKEZI_LISTESI.xlsx — trafo merkezi koordinatı (yaklaşık)</x:v>
      </x:c>
      <x:c r="Z10" s="32" t="str">
        <x:v>10</x:v>
      </x:c>
      <x:c r="AA1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doğrulanamadı; Santral/baraj kesin koordinatı doğrulanamadığı için eşleşen trafo merkezi koordinatı harita referansı olarak kullanıldı; kesin HES konumu değildir.</x:v>
      </x:c>
      <x:c r="AB10" s="133" t="str">
        <x:v>Trafo merkezi koordinatı ile tamamlandı</x:v>
      </x:c>
      <x:c r="AC10" s="133" t="str">
        <x:v>Trafo merkezi / elektrik bağlantı noktası (yaklaşık)</x:v>
      </x:c>
      <x:c r="AD10" s="133" t="n">
        <x:v>1504</x:v>
      </x:c>
      <x:c r="AE10" s="133" t="str">
        <x:v>AKŞAR NAZAR HES</x:v>
      </x:c>
      <x:c r="AF10" s="133" t="str">
        <x:v>Bitlis</x:v>
      </x:c>
      <x:c r="AG10" s="134" t="n">
        <x:v>38.14</x:v>
      </x:c>
      <x:c r="AH10" s="134" t="n">
        <x:v>42.429</x:v>
      </x:c>
      <x:c r="AI10" s="133" t="str">
        <x:v>Tam ad eşleşmesi</x:v>
      </x:c>
      <x:c r="AJ10" s="133" t="str">
        <x:v>Yüksek</x:v>
      </x:c>
      <x:c r="AK10" s="135"/>
      <x:c r="AL10" s="133" t="str">
        <x:v>Point</x:v>
      </x:c>
      <x:c r="AM10" s="133" t="str">
        <x:v>{"type": "Point", "coordinates": [42.429, 38.14]}</x:v>
      </x:c>
      <x:c r="AN10" s="133" t="str">
        <x:v>Trafo merkezi / elektrik bağlantı noktası (yaklaşık)</x:v>
      </x:c>
      <x:c r="AO10" s="133"/>
      <x:c r="AP10" s="133"/>
      <x:c r="AQ10" s="134"/>
      <x:c r="AR10" s="134"/>
      <x:c r="AS10" s="133"/>
      <x:c r="AT10" s="133" t="str">
        <x:v>https://cbs1.tarimorman.gov.tr/server/rest/services/TATUS/FeatureServer/7/query?where=HAVZA_ID%3D21+AND+%28BarajAdi%3D%27AK%C5%9EAR+NAZAR%27%29&amp;outFields=OBJECTID%2CBarajAdi%2CHavzaAdi%2CHAVZA_ID%2CIl&amp;returnGeometry=true&amp;outSR=4326&amp;f=geojson</x:v>
      </x:c>
      <x:c r="AU10" s="133"/>
      <x:c r="AV10" s="133" t="str">
        <x:v>Polyline / LineString</x:v>
      </x:c>
      <x:c r="AW10" s="133" t="str">
        <x:v>https://cbs1.tarimorman.gov.tr/server/rest/services/TATUS/FeatureServer/8/query?where=HAVZA_ID%3D21&amp;geometry=42.429000%2C38.140000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" s="133" t="str">
        <x:v>TATUS spatial query hazır; en yakın/uygun LineString seçilmeli</x:v>
      </x:c>
      <x:c r="AY10" s="133" t="str">
        <x:v>Polygon</x:v>
      </x:c>
      <x:c r="AZ10" s="133" t="str">
        <x:v>https://cbs1.tarimorman.gov.tr/server/rest/services/TATUS/FeatureServer/9/query?where=1%3D1&amp;geometry=42.429000%2C38.140000&amp;geometryType=esriGeometryPoint&amp;inSR=4326&amp;spatialRel=esriSpatialRelIntersects&amp;outFields=%2A&amp;returnGeometry=true&amp;outSR=4326&amp;resultRecordCount=5&amp;f=geojson</x:v>
      </x:c>
      <x:c r="BA10" s="133" t="str">
        <x:v>Santral popup: Su alanını göster</x:v>
      </x:c>
      <x:c r="BB10" s="133" t="str">
        <x:v>Orta-Düşük</x:v>
      </x:c>
      <x:c r="BC10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1" ht="30" customHeight="1">
      <x:c r="A11" s="100" t="n">
        <x:v>8</x:v>
      </x:c>
      <x:c r="B11" s="32" t="str">
        <x:v>ALAKÖPRÜ HES</x:v>
      </x:c>
      <x:c r="C11" s="32" t="str">
        <x:v>Doğu Akdeniz</x:v>
      </x:c>
      <x:c r="D11" s="32" t="str">
        <x:v>Doğu Akdeniz</x:v>
      </x:c>
      <x:c r="E11" s="34" t="n">
        <x:v>17</x:v>
      </x:c>
      <x:c r="F11" s="32" t="str">
        <x:v>https://cbs1.tarimorman.gov.tr/server/rest/services/TATUS/FeatureServer/11/query?where=ID%3D17&amp;outFields=ID%2CHAVZA_ADI%2CALAN_KM2&amp;returnGeometry=true&amp;outSR=4326&amp;f=geojson</x:v>
      </x:c>
      <x:c r="G11" s="32" t="str">
        <x:v>ALAKÖPRÜ</x:v>
      </x:c>
      <x:c r="H11" s="32" t="str">
        <x:v>İÇEL</x:v>
      </x:c>
      <x:c r="I11" s="36" t="n">
        <x:v>36.181667</x:v>
      </x:c>
      <x:c r="J11" s="36" t="n">
        <x:v>32.895</x:v>
      </x:c>
      <x:c r="K11" s="38" t="n">
        <x:v>135</x:v>
      </x:c>
      <x:c r="L11" s="38" t="n">
        <x:v>119</x:v>
      </x:c>
      <x:c r="M11" s="32"/>
      <x:c r="N11" s="38" t="n">
        <x:v>32</x:v>
      </x:c>
      <x:c r="O11" s="38" t="n">
        <x:v>43</x:v>
      </x:c>
      <x:c r="P11" s="38" t="n">
        <x:v>117.07</x:v>
      </x:c>
      <x:c r="Q11" s="38" t="n">
        <x:v>36.28</x:v>
      </x:c>
      <x:c r="R11" s="38" t="n">
        <x:v>56.61</x:v>
      </x:c>
      <x:c r="S11" s="38" t="n">
        <x:v>11.18</x:v>
      </x:c>
      <x:c r="T11" s="40" t="n">
        <x:v>46278.81434027778</x:v>
      </x:c>
      <x:c r="U11" s="32" t="str">
        <x:v>exact</x:v>
      </x:c>
      <x:c r="V11" s="32" t="str">
        <x:v>A</x:v>
      </x:c>
      <x:c r="W11" s="32" t="str">
        <x:v>Yüklü Debi_ve_Kurulu_Guc-13092026.xlsx</x:v>
      </x:c>
      <x:c r="X11" s="32" t="str">
        <x:v>Yüklü Debi_ve_Kurulu_Guc-13092026.xlsx</x:v>
      </x:c>
      <x:c r="Y11" s="32" t="str">
        <x:v>https://turkiyebarajlar.com/baraj/alakopru</x:v>
      </x:c>
      <x:c r="Z11" s="32" t="str">
        <x:v>10</x:v>
      </x:c>
      <x:c r="AA11" s="101" t="str">
        <x:v>Kaskat alanında kaynak değeri '10' (belirsiz/sentinel)</x:v>
      </x:c>
      <x:c r="AB11" s="133" t="str">
        <x:v>Doğrulanmış koordinat mevcut</x:v>
      </x:c>
      <x:c r="AC11" s="133" t="str">
        <x:v>HES / baraj noktası</x:v>
      </x:c>
      <x:c r="AD11" s="133"/>
      <x:c r="AE11" s="133"/>
      <x:c r="AF11" s="133"/>
      <x:c r="AG11" s="134"/>
      <x:c r="AH11" s="134"/>
      <x:c r="AI11" s="133"/>
      <x:c r="AJ11" s="133"/>
      <x:c r="AK11" s="135"/>
      <x:c r="AL11" s="133" t="str">
        <x:v>Point</x:v>
      </x:c>
      <x:c r="AM11" s="133" t="str">
        <x:v>{"type": "Point", "coordinates": [32.895, 36.181667]}</x:v>
      </x:c>
      <x:c r="AN11" s="133" t="str">
        <x:v>HES / baraj noktası</x:v>
      </x:c>
      <x:c r="AO11" s="133"/>
      <x:c r="AP11" s="133"/>
      <x:c r="AQ11" s="134"/>
      <x:c r="AR11" s="134"/>
      <x:c r="AS11" s="133"/>
      <x:c r="AT11" s="133" t="str">
        <x:v>https://cbs1.tarimorman.gov.tr/server/rest/services/TATUS/FeatureServer/7/query?where=HAVZA_ID%3D17+AND+%28BarajAdi%3D%27ALAK%C3%96PR%C3%9C%27%29&amp;outFields=OBJECTID%2CBarajAdi%2CHavzaAdi%2CHAVZA_ID%2CIl&amp;returnGeometry=true&amp;outSR=4326&amp;f=geojson</x:v>
      </x:c>
      <x:c r="AU11" s="133"/>
      <x:c r="AV11" s="133" t="str">
        <x:v>Polyline / LineString</x:v>
      </x:c>
      <x:c r="AW11" s="133" t="str">
        <x:v>https://cbs1.tarimorman.gov.tr/server/rest/services/TATUS/FeatureServer/8/query?where=HAVZA_ID%3D17&amp;geometry=32.895000%2C36.181667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" s="133" t="str">
        <x:v>TATUS spatial query hazır; en yakın/uygun LineString seçilmeli</x:v>
      </x:c>
      <x:c r="AY11" s="133" t="str">
        <x:v>Polygon</x:v>
      </x:c>
      <x:c r="AZ11" s="133" t="str">
        <x:v>https://cbs1.tarimorman.gov.tr/server/rest/services/TATUS/FeatureServer/9/query?where=1%3D1&amp;geometry=32.895000%2C36.181667&amp;geometryType=esriGeometryPoint&amp;inSR=4326&amp;spatialRel=esriSpatialRelIntersects&amp;outFields=%2A&amp;returnGeometry=true&amp;outSR=4326&amp;resultRecordCount=5&amp;f=geojson</x:v>
      </x:c>
      <x:c r="BA11" s="133" t="str">
        <x:v>Santral popup: Su alanını göster</x:v>
      </x:c>
      <x:c r="BB11" s="133" t="str">
        <x:v>Yüksek</x:v>
      </x:c>
      <x:c r="BC11" s="133" t="str">
        <x:v>TATUS baraj point doğrudan eşleşmesi bu çalışma kitabında çözülmedi; sorgu URL'si eklendi</x:v>
      </x:c>
    </x:row>
    <x:row r="12" ht="30" customHeight="1">
      <x:c r="A12" s="100" t="n">
        <x:v>9</x:v>
      </x:c>
      <x:c r="B12" s="32" t="str">
        <x:v>ALKUMRU HES</x:v>
      </x:c>
      <x:c r="C12" s="32" t="str">
        <x:v>Fırat Dicle</x:v>
      </x:c>
      <x:c r="D12" s="32" t="str">
        <x:v>Fırat-Dicle</x:v>
      </x:c>
      <x:c r="E12" s="34" t="n">
        <x:v>21</x:v>
      </x:c>
      <x:c r="F12" s="32" t="str">
        <x:v>https://cbs1.tarimorman.gov.tr/server/rest/services/TATUS/FeatureServer/11/query?where=ID%3D21&amp;outFields=ID%2CHAVZA_ADI%2CALAN_KM2&amp;returnGeometry=true&amp;outSR=4326&amp;f=geojson</x:v>
      </x:c>
      <x:c r="G12" s="32" t="str">
        <x:v>ALKUMRU</x:v>
      </x:c>
      <x:c r="H12" s="32" t="str">
        <x:v>SİİRT</x:v>
      </x:c>
      <x:c r="I12" s="36" t="n">
        <x:v>37.955</x:v>
      </x:c>
      <x:c r="J12" s="36" t="n">
        <x:v>42.091</x:v>
      </x:c>
      <x:c r="K12" s="38" t="n">
        <x:v>647</x:v>
      </x:c>
      <x:c r="L12" s="38" t="n">
        <x:v>611.8</x:v>
      </x:c>
      <x:c r="M12" s="32" t="str">
        <x:v>ILISU HES</x:v>
      </x:c>
      <x:c r="N12" s="38" t="n">
        <x:v>276</x:v>
      </x:c>
      <x:c r="O12" s="38"/>
      <x:c r="P12" s="38"/>
      <x:c r="Q12" s="38"/>
      <x:c r="R12" s="38"/>
      <x:c r="S12" s="38"/>
      <x:c r="T12" s="40"/>
      <x:c r="U12" s="32" t="str">
        <x:v>eşleşme yok</x:v>
      </x:c>
      <x:c r="V12" s="32" t="str">
        <x:v>C</x:v>
      </x:c>
      <x:c r="W12" s="32" t="str">
        <x:v>https://openinframap.org/stats/area/Turkey/plants?source=hydro</x:v>
      </x:c>
      <x:c r="X12" s="32" t="str">
        <x:v>https://openinframap.org/stats/area/Turkey/plants?source=hydro</x:v>
      </x:c>
      <x:c r="Y12" s="32" t="str">
        <x:v>hes_MERKEZI_LISTESI.xlsx — trafo merkezi koordinatı (yaklaşık)</x:v>
      </x:c>
      <x:c r="Z12" s="32" t="str">
        <x:v>ILISU HES</x:v>
      </x:c>
      <x:c r="AA12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2" s="133" t="str">
        <x:v>Trafo merkezi koordinatı ile tamamlandı</x:v>
      </x:c>
      <x:c r="AC12" s="133" t="str">
        <x:v>Trafo merkezi / elektrik bağlantı noktası (yaklaşık)</x:v>
      </x:c>
      <x:c r="AD12" s="133" t="n">
        <x:v>690</x:v>
      </x:c>
      <x:c r="AE12" s="133" t="str">
        <x:v>ALKUMRU HES</x:v>
      </x:c>
      <x:c r="AF12" s="133" t="str">
        <x:v>Siirt</x:v>
      </x:c>
      <x:c r="AG12" s="134" t="n">
        <x:v>37.955</x:v>
      </x:c>
      <x:c r="AH12" s="134" t="n">
        <x:v>42.091</x:v>
      </x:c>
      <x:c r="AI12" s="133" t="str">
        <x:v>Tam ad eşleşmesi</x:v>
      </x:c>
      <x:c r="AJ12" s="133" t="str">
        <x:v>Yüksek</x:v>
      </x:c>
      <x:c r="AK12" s="135"/>
      <x:c r="AL12" s="133" t="str">
        <x:v>Point</x:v>
      </x:c>
      <x:c r="AM12" s="133" t="str">
        <x:v>{"type": "Point", "coordinates": [42.091, 37.955]}</x:v>
      </x:c>
      <x:c r="AN12" s="133" t="str">
        <x:v>Trafo merkezi / elektrik bağlantı noktası (yaklaşık)</x:v>
      </x:c>
      <x:c r="AO12" s="133"/>
      <x:c r="AP12" s="133"/>
      <x:c r="AQ12" s="134"/>
      <x:c r="AR12" s="134"/>
      <x:c r="AS12" s="133"/>
      <x:c r="AT12" s="133" t="str">
        <x:v>https://cbs1.tarimorman.gov.tr/server/rest/services/TATUS/FeatureServer/7/query?where=HAVZA_ID%3D21+AND+%28BarajAdi%3D%27ALKUMRU%27%29&amp;outFields=OBJECTID%2CBarajAdi%2CHavzaAdi%2CHAVZA_ID%2CIl&amp;returnGeometry=true&amp;outSR=4326&amp;f=geojson</x:v>
      </x:c>
      <x:c r="AU12" s="133"/>
      <x:c r="AV12" s="133" t="str">
        <x:v>Polyline / LineString</x:v>
      </x:c>
      <x:c r="AW12" s="133" t="str">
        <x:v>https://cbs1.tarimorman.gov.tr/server/rest/services/TATUS/FeatureServer/8/query?where=HAVZA_ID%3D21&amp;geometry=42.091000%2C37.955000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" s="133" t="str">
        <x:v>TATUS spatial query hazır; en yakın/uygun LineString seçilmeli</x:v>
      </x:c>
      <x:c r="AY12" s="133" t="str">
        <x:v>Polygon</x:v>
      </x:c>
      <x:c r="AZ12" s="133" t="str">
        <x:v>https://cbs1.tarimorman.gov.tr/server/rest/services/TATUS/FeatureServer/9/query?where=1%3D1&amp;geometry=42.091000%2C37.955000&amp;geometryType=esriGeometryPoint&amp;inSR=4326&amp;spatialRel=esriSpatialRelIntersects&amp;outFields=%2A&amp;returnGeometry=true&amp;outSR=4326&amp;resultRecordCount=5&amp;f=geojson</x:v>
      </x:c>
      <x:c r="BA12" s="133" t="str">
        <x:v>Santral popup: Su alanını göster</x:v>
      </x:c>
      <x:c r="BB12" s="133" t="str">
        <x:v>Orta-Düşük</x:v>
      </x:c>
      <x:c r="BC12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3" ht="30" customHeight="1">
      <x:c r="A13" s="100" t="n">
        <x:v>10</x:v>
      </x:c>
      <x:c r="B13" s="32" t="str">
        <x:v>ALMUS HES</x:v>
      </x:c>
      <x:c r="C13" s="32" t="str">
        <x:v>Yeşilırmak</x:v>
      </x:c>
      <x:c r="D13" s="32" t="str">
        <x:v>Yeşilırmak</x:v>
      </x:c>
      <x:c r="E13" s="34" t="n">
        <x:v>14</x:v>
      </x:c>
      <x:c r="F13" s="32" t="str">
        <x:v>https://cbs1.tarimorman.gov.tr/server/rest/services/TATUS/FeatureServer/11/query?where=ID%3D14&amp;outFields=ID%2CHAVZA_ADI%2CALAN_KM2&amp;returnGeometry=true&amp;outSR=4326&amp;f=geojson</x:v>
      </x:c>
      <x:c r="G13" s="32" t="str">
        <x:v>ALMUS</x:v>
      </x:c>
      <x:c r="H13" s="32" t="str">
        <x:v>TOKAT</x:v>
      </x:c>
      <x:c r="I13" s="36" t="n">
        <x:v>40.40784</x:v>
      </x:c>
      <x:c r="J13" s="36" t="n">
        <x:v>36.90323</x:v>
      </x:c>
      <x:c r="K13" s="38" t="n">
        <x:v>804.5</x:v>
      </x:c>
      <x:c r="L13" s="38" t="n">
        <x:v>767.37</x:v>
      </x:c>
      <x:c r="M13" s="32"/>
      <x:c r="N13" s="38" t="n">
        <x:v>27</x:v>
      </x:c>
      <x:c r="O13" s="38" t="n">
        <x:v>49.5</x:v>
      </x:c>
      <x:c r="P13" s="38" t="n">
        <x:v>975.74</x:v>
      </x:c>
      <x:c r="Q13" s="38" t="n">
        <x:v>146.06</x:v>
      </x:c>
      <x:c r="R13" s="38" t="n">
        <x:v>602.84</x:v>
      </x:c>
      <x:c r="S13" s="38" t="n">
        <x:v>97.75</x:v>
      </x:c>
      <x:c r="T13" s="40" t="n">
        <x:v>46278.81434027778</x:v>
      </x:c>
      <x:c r="U13" s="32" t="str">
        <x:v>exact</x:v>
      </x:c>
      <x:c r="V13" s="32" t="str">
        <x:v>A</x:v>
      </x:c>
      <x:c r="W13" s="32" t="str">
        <x:v>Yüklü Debi_ve_Kurulu_Guc-13092026.xlsx</x:v>
      </x:c>
      <x:c r="X13" s="32" t="str">
        <x:v>Yüklü Debi_ve_Kurulu_Guc-13092026.xlsx</x:v>
      </x:c>
      <x:c r="Y13" s="32" t="str">
        <x:v>https://cbs1.tarimorman.gov.tr/server/rest/services/TATUS/FeatureServer/7</x:v>
      </x:c>
      <x:c r="Z13" s="32" t="str">
        <x:v>10</x:v>
      </x:c>
      <x:c r="AA13" s="101" t="str">
        <x:v>Kaskat alanında kaynak değeri '10' (belirsiz/sentinel)</x:v>
      </x:c>
      <x:c r="AB13" s="133" t="str">
        <x:v>Doğrulanmış koordinat mevcut</x:v>
      </x:c>
      <x:c r="AC13" s="133" t="str">
        <x:v>HES / baraj noktası</x:v>
      </x:c>
      <x:c r="AD13" s="133" t="n">
        <x:v>790</x:v>
      </x:c>
      <x:c r="AE13" s="133" t="str">
        <x:v>ALMUS HES</x:v>
      </x:c>
      <x:c r="AF13" s="133" t="str">
        <x:v>Tokat</x:v>
      </x:c>
      <x:c r="AG13" s="134" t="n">
        <x:v>40.406</x:v>
      </x:c>
      <x:c r="AH13" s="134" t="n">
        <x:v>36.899</x:v>
      </x:c>
      <x:c r="AI13" s="133" t="str">
        <x:v>Tam ad eşleşmesi</x:v>
      </x:c>
      <x:c r="AJ13" s="133" t="str">
        <x:v>Yüksek</x:v>
      </x:c>
      <x:c r="AK13" s="135" t="n">
        <x:v>0.412</x:v>
      </x:c>
      <x:c r="AL13" s="133" t="str">
        <x:v>Point</x:v>
      </x:c>
      <x:c r="AM13" s="133" t="str">
        <x:v>{"type": "Point", "coordinates": [36.90323, 40.40784]}</x:v>
      </x:c>
      <x:c r="AN13" s="133" t="str">
        <x:v>TATUS Baraj Gözlem Point</x:v>
      </x:c>
      <x:c r="AO13" s="133" t="str">
        <x:v>ALMUS</x:v>
      </x:c>
      <x:c r="AP13" s="133" t="n">
        <x:v>1</x:v>
      </x:c>
      <x:c r="AQ13" s="134" t="n">
        <x:v>40.40784</x:v>
      </x:c>
      <x:c r="AR13" s="134" t="n">
        <x:v>36.90323</x:v>
      </x:c>
      <x:c r="AS13" s="133" t="str">
        <x:v>{"type": "Point", "coordinates": [36.90323, 40.40784]}</x:v>
      </x:c>
      <x:c r="AT13" s="133" t="str">
        <x:v>https://cbs1.tarimorman.gov.tr/server/rest/services/TATUS/FeatureServer/7/query?where=HAVZA_ID%3D14+AND+%28BarajAdi%3D%27ALMUS%27%29&amp;outFields=OBJECTID%2CBarajAdi%2CHavzaAdi%2CHAVZA_ID%2CIl&amp;returnGeometry=true&amp;outSR=4326&amp;f=geojson</x:v>
      </x:c>
      <x:c r="AU13" s="133" t="str">
        <x:v>Yeşilırmak</x:v>
      </x:c>
      <x:c r="AV13" s="133" t="str">
        <x:v>Polyline / LineString</x:v>
      </x:c>
      <x:c r="AW13" s="133" t="str">
        <x:v>https://cbs1.tarimorman.gov.tr/server/rest/services/TATUS/FeatureServer/8/query?where=HAVZA_ID%3D14&amp;geometry=36.903230%2C40.407840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" s="133" t="str">
        <x:v>Havza ana akarsuyu ön-eşleme; TATUS spatial query ile doğrulanmalı</x:v>
      </x:c>
      <x:c r="AY13" s="133" t="str">
        <x:v>Polygon</x:v>
      </x:c>
      <x:c r="AZ13" s="133" t="str">
        <x:v>https://cbs1.tarimorman.gov.tr/server/rest/services/TATUS/FeatureServer/9/query?where=1%3D1&amp;geometry=36.903230%2C40.407840&amp;geometryType=esriGeometryPoint&amp;inSR=4326&amp;spatialRel=esriSpatialRelIntersects&amp;outFields=%2A&amp;returnGeometry=true&amp;outSR=4326&amp;resultRecordCount=5&amp;f=geojson</x:v>
      </x:c>
      <x:c r="BA13" s="133" t="str">
        <x:v>Santral popup: Su alanını göster</x:v>
      </x:c>
      <x:c r="BB13" s="133" t="str">
        <x:v>Yüksek</x:v>
      </x:c>
      <x:c r="BC13" s="133"/>
    </x:row>
    <x:row r="14" ht="30" customHeight="1">
      <x:c r="A14" s="100" t="n">
        <x:v>11</x:v>
      </x:c>
      <x:c r="B14" s="32" t="str">
        <x:v>ALPASLAN1 HES</x:v>
      </x:c>
      <x:c r="C14" s="32" t="str">
        <x:v>Fırat Dicle</x:v>
      </x:c>
      <x:c r="D14" s="32" t="str">
        <x:v>Fırat-Dicle</x:v>
      </x:c>
      <x:c r="E14" s="34" t="n">
        <x:v>21</x:v>
      </x:c>
      <x:c r="F14" s="32" t="str">
        <x:v>https://cbs1.tarimorman.gov.tr/server/rest/services/TATUS/FeatureServer/11/query?where=ID%3D21&amp;outFields=ID%2CHAVZA_ADI%2CALAN_KM2&amp;returnGeometry=true&amp;outSR=4326&amp;f=geojson</x:v>
      </x:c>
      <x:c r="G14" s="32" t="str">
        <x:v>ALPASLAN1</x:v>
      </x:c>
      <x:c r="H14" s="32" t="str">
        <x:v>MUŞ</x:v>
      </x:c>
      <x:c r="I14" s="36" t="n">
        <x:v>39.053</x:v>
      </x:c>
      <x:c r="J14" s="36" t="n">
        <x:v>41.815</x:v>
      </x:c>
      <x:c r="K14" s="38" t="n">
        <x:v>1450</x:v>
      </x:c>
      <x:c r="L14" s="38" t="n">
        <x:v>1430</x:v>
      </x:c>
      <x:c r="M14" s="32"/>
      <x:c r="N14" s="38" t="n">
        <x:v>160</x:v>
      </x:c>
      <x:c r="O14" s="38"/>
      <x:c r="P14" s="38"/>
      <x:c r="Q14" s="38"/>
      <x:c r="R14" s="38"/>
      <x:c r="S14" s="38"/>
      <x:c r="T14" s="40"/>
      <x:c r="U14" s="32" t="str">
        <x:v>eşleşme yok</x:v>
      </x:c>
      <x:c r="V14" s="32" t="str">
        <x:v>C</x:v>
      </x:c>
      <x:c r="W14" s="32" t="str">
        <x:v>https://openinframap.org/stats/area/Turkey/plants?source=hydro</x:v>
      </x:c>
      <x:c r="X14" s="32" t="str">
        <x:v>https://openinframap.org/stats/area/Turkey/plants?source=hydro</x:v>
      </x:c>
      <x:c r="Y14" s="32" t="str">
        <x:v>hes_MERKEZI_LISTESI.xlsx — trafo merkezi koordinatı (yaklaşık)</x:v>
      </x:c>
      <x:c r="Z14" s="32" t="str">
        <x:v>10</x:v>
      </x:c>
      <x:c r="AA14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4" s="133" t="str">
        <x:v>Trafo merkezi koordinatı ile tamamlandı</x:v>
      </x:c>
      <x:c r="AC14" s="133" t="str">
        <x:v>Trafo merkezi / elektrik bağlantı noktası (yaklaşık)</x:v>
      </x:c>
      <x:c r="AD14" s="133" t="n">
        <x:v>2506</x:v>
      </x:c>
      <x:c r="AE14" s="133" t="str">
        <x:v>ALPASLAN1 HES</x:v>
      </x:c>
      <x:c r="AF14" s="133" t="str">
        <x:v>Muş</x:v>
      </x:c>
      <x:c r="AG14" s="134" t="n">
        <x:v>39.053</x:v>
      </x:c>
      <x:c r="AH14" s="134" t="n">
        <x:v>41.815</x:v>
      </x:c>
      <x:c r="AI14" s="133" t="str">
        <x:v>Tam ad eşleşmesi</x:v>
      </x:c>
      <x:c r="AJ14" s="133" t="str">
        <x:v>Yüksek</x:v>
      </x:c>
      <x:c r="AK14" s="135"/>
      <x:c r="AL14" s="133" t="str">
        <x:v>Point</x:v>
      </x:c>
      <x:c r="AM14" s="133" t="str">
        <x:v>{"type": "Point", "coordinates": [41.815, 39.053]}</x:v>
      </x:c>
      <x:c r="AN14" s="133" t="str">
        <x:v>Trafo merkezi / elektrik bağlantı noktası (yaklaşık)</x:v>
      </x:c>
      <x:c r="AO14" s="133"/>
      <x:c r="AP14" s="133"/>
      <x:c r="AQ14" s="134"/>
      <x:c r="AR14" s="134"/>
      <x:c r="AS14" s="133"/>
      <x:c r="AT14" s="133" t="str">
        <x:v>https://cbs1.tarimorman.gov.tr/server/rest/services/TATUS/FeatureServer/7/query?where=HAVZA_ID%3D21+AND+%28BarajAdi%3D%27ALPASLAN1%27%29&amp;outFields=OBJECTID%2CBarajAdi%2CHavzaAdi%2CHAVZA_ID%2CIl&amp;returnGeometry=true&amp;outSR=4326&amp;f=geojson</x:v>
      </x:c>
      <x:c r="AU14" s="133"/>
      <x:c r="AV14" s="133" t="str">
        <x:v>Polyline / LineString</x:v>
      </x:c>
      <x:c r="AW14" s="133" t="str">
        <x:v>https://cbs1.tarimorman.gov.tr/server/rest/services/TATUS/FeatureServer/8/query?where=HAVZA_ID%3D21&amp;geometry=41.815000%2C39.053000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" s="133" t="str">
        <x:v>TATUS spatial query hazır; en yakın/uygun LineString seçilmeli</x:v>
      </x:c>
      <x:c r="AY14" s="133" t="str">
        <x:v>Polygon</x:v>
      </x:c>
      <x:c r="AZ14" s="133" t="str">
        <x:v>https://cbs1.tarimorman.gov.tr/server/rest/services/TATUS/FeatureServer/9/query?where=1%3D1&amp;geometry=41.815000%2C39.053000&amp;geometryType=esriGeometryPoint&amp;inSR=4326&amp;spatialRel=esriSpatialRelIntersects&amp;outFields=%2A&amp;returnGeometry=true&amp;outSR=4326&amp;resultRecordCount=5&amp;f=geojson</x:v>
      </x:c>
      <x:c r="BA14" s="133" t="str">
        <x:v>Santral popup: Su alanını göster</x:v>
      </x:c>
      <x:c r="BB14" s="133" t="str">
        <x:v>Orta-Düşük</x:v>
      </x:c>
      <x:c r="BC14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5" ht="30" customHeight="1">
      <x:c r="A15" s="100" t="n">
        <x:v>12</x:v>
      </x:c>
      <x:c r="B15" s="32" t="str">
        <x:v>ALPASLAN2 HES</x:v>
      </x:c>
      <x:c r="C15" s="32" t="str">
        <x:v>Fırat Dicle</x:v>
      </x:c>
      <x:c r="D15" s="32" t="str">
        <x:v>Fırat-Dicle</x:v>
      </x:c>
      <x:c r="E15" s="34" t="n">
        <x:v>21</x:v>
      </x:c>
      <x:c r="F15" s="32" t="str">
        <x:v>https://cbs1.tarimorman.gov.tr/server/rest/services/TATUS/FeatureServer/11/query?where=ID%3D21&amp;outFields=ID%2CHAVZA_ADI%2CALAN_KM2&amp;returnGeometry=true&amp;outSR=4326&amp;f=geojson</x:v>
      </x:c>
      <x:c r="G15" s="32" t="str">
        <x:v>ALPASLAN2</x:v>
      </x:c>
      <x:c r="H15" s="32" t="str">
        <x:v>MUŞ</x:v>
      </x:c>
      <x:c r="I15" s="36" t="n">
        <x:v>39.033</x:v>
      </x:c>
      <x:c r="J15" s="36" t="n">
        <x:v>41.519</x:v>
      </x:c>
      <x:c r="K15" s="38" t="n">
        <x:v>1369.3</x:v>
      </x:c>
      <x:c r="L15" s="38" t="n">
        <x:v>1340</x:v>
      </x:c>
      <x:c r="M15" s="32" t="str">
        <x:v>YUKARI KALEKÖY HES</x:v>
      </x:c>
      <x:c r="N15" s="38" t="n">
        <x:v>280</x:v>
      </x:c>
      <x:c r="O15" s="38"/>
      <x:c r="P15" s="38"/>
      <x:c r="Q15" s="38"/>
      <x:c r="R15" s="38"/>
      <x:c r="S15" s="38"/>
      <x:c r="T15" s="40"/>
      <x:c r="U15" s="32" t="str">
        <x:v>eşleşme yok</x:v>
      </x:c>
      <x:c r="V15" s="32" t="str">
        <x:v>C</x:v>
      </x:c>
      <x:c r="W15" s="32" t="str">
        <x:v>https://openinframap.org/stats/area/Turkey/plants?source=hydro</x:v>
      </x:c>
      <x:c r="X15" s="32" t="str">
        <x:v>https://openinframap.org/stats/area/Turkey/plants?source=hydro</x:v>
      </x:c>
      <x:c r="Y15" s="32" t="str">
        <x:v>hes_MERKEZI_LISTESI.xlsx — trafo merkezi koordinatı (yaklaşık)</x:v>
      </x:c>
      <x:c r="Z15" s="32" t="str">
        <x:v>YUKARI KALEKÖY HES</x:v>
      </x:c>
      <x:c r="AA15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5" s="133" t="str">
        <x:v>Trafo merkezi koordinatı ile tamamlandı</x:v>
      </x:c>
      <x:c r="AC15" s="133" t="str">
        <x:v>Trafo merkezi / elektrik bağlantı noktası (yaklaşık)</x:v>
      </x:c>
      <x:c r="AD15" s="133" t="n">
        <x:v>1736</x:v>
      </x:c>
      <x:c r="AE15" s="133" t="str">
        <x:v>ALPASLAN2 HES</x:v>
      </x:c>
      <x:c r="AF15" s="133" t="str">
        <x:v>Muş</x:v>
      </x:c>
      <x:c r="AG15" s="134" t="n">
        <x:v>39.033</x:v>
      </x:c>
      <x:c r="AH15" s="134" t="n">
        <x:v>41.519</x:v>
      </x:c>
      <x:c r="AI15" s="133" t="str">
        <x:v>Tam ad eşleşmesi</x:v>
      </x:c>
      <x:c r="AJ15" s="133" t="str">
        <x:v>Yüksek</x:v>
      </x:c>
      <x:c r="AK15" s="135"/>
      <x:c r="AL15" s="133" t="str">
        <x:v>Point</x:v>
      </x:c>
      <x:c r="AM15" s="133" t="str">
        <x:v>{"type": "Point", "coordinates": [41.519, 39.033]}</x:v>
      </x:c>
      <x:c r="AN15" s="133" t="str">
        <x:v>Trafo merkezi / elektrik bağlantı noktası (yaklaşık)</x:v>
      </x:c>
      <x:c r="AO15" s="133"/>
      <x:c r="AP15" s="133"/>
      <x:c r="AQ15" s="134"/>
      <x:c r="AR15" s="134"/>
      <x:c r="AS15" s="133"/>
      <x:c r="AT15" s="133" t="str">
        <x:v>https://cbs1.tarimorman.gov.tr/server/rest/services/TATUS/FeatureServer/7/query?where=HAVZA_ID%3D21+AND+%28BarajAdi%3D%27ALPASLAN2%27%29&amp;outFields=OBJECTID%2CBarajAdi%2CHavzaAdi%2CHAVZA_ID%2CIl&amp;returnGeometry=true&amp;outSR=4326&amp;f=geojson</x:v>
      </x:c>
      <x:c r="AU15" s="133"/>
      <x:c r="AV15" s="133" t="str">
        <x:v>Polyline / LineString</x:v>
      </x:c>
      <x:c r="AW15" s="133" t="str">
        <x:v>https://cbs1.tarimorman.gov.tr/server/rest/services/TATUS/FeatureServer/8/query?where=HAVZA_ID%3D21&amp;geometry=41.519000%2C39.033000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5" s="133" t="str">
        <x:v>TATUS spatial query hazır; en yakın/uygun LineString seçilmeli</x:v>
      </x:c>
      <x:c r="AY15" s="133" t="str">
        <x:v>Polygon</x:v>
      </x:c>
      <x:c r="AZ15" s="133" t="str">
        <x:v>https://cbs1.tarimorman.gov.tr/server/rest/services/TATUS/FeatureServer/9/query?where=1%3D1&amp;geometry=41.519000%2C39.033000&amp;geometryType=esriGeometryPoint&amp;inSR=4326&amp;spatialRel=esriSpatialRelIntersects&amp;outFields=%2A&amp;returnGeometry=true&amp;outSR=4326&amp;resultRecordCount=5&amp;f=geojson</x:v>
      </x:c>
      <x:c r="BA15" s="133" t="str">
        <x:v>Santral popup: Su alanını göster</x:v>
      </x:c>
      <x:c r="BB15" s="133" t="str">
        <x:v>Orta-Düşük</x:v>
      </x:c>
      <x:c r="BC15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6" ht="30" customHeight="1">
      <x:c r="A16" s="100" t="n">
        <x:v>13</x:v>
      </x:c>
      <x:c r="B16" s="32" t="str">
        <x:v>ALTEK GÖNEN HES</x:v>
      </x:c>
      <x:c r="C16" s="32" t="str">
        <x:v>Susurluk</x:v>
      </x:c>
      <x:c r="D16" s="32" t="str">
        <x:v>Susurluk</x:v>
      </x:c>
      <x:c r="E16" s="34" t="n">
        <x:v>3</x:v>
      </x:c>
      <x:c r="F16" s="32" t="str">
        <x:v>https://cbs1.tarimorman.gov.tr/server/rest/services/TATUS/FeatureServer/11/query?where=ID%3D3&amp;outFields=ID%2CHAVZA_ADI%2CALAN_KM2&amp;returnGeometry=true&amp;outSR=4326&amp;f=geojson</x:v>
      </x:c>
      <x:c r="G16" s="32" t="str">
        <x:v>ALTEK GÖNEN</x:v>
      </x:c>
      <x:c r="H16" s="32" t="str">
        <x:v>BALIKESİR</x:v>
      </x:c>
      <x:c r="I16" s="36"/>
      <x:c r="J16" s="36"/>
      <x:c r="K16" s="38" t="n">
        <x:v>162.94</x:v>
      </x:c>
      <x:c r="L16" s="38" t="n">
        <x:v>125</x:v>
      </x:c>
      <x:c r="M16" s="32"/>
      <x:c r="N16" s="38" t="n">
        <x:v>10.6</x:v>
      </x:c>
      <x:c r="O16" s="38"/>
      <x:c r="P16" s="38"/>
      <x:c r="Q16" s="38"/>
      <x:c r="R16" s="38"/>
      <x:c r="S16" s="38"/>
      <x:c r="T16" s="40"/>
      <x:c r="U16" s="32" t="str">
        <x:v>eşleşme yok</x:v>
      </x:c>
      <x:c r="V16" s="32" t="str">
        <x:v>C</x:v>
      </x:c>
      <x:c r="W16" s="32" t="str">
        <x:v>https://www.alarko.com.tr/faaliyet-gruplari/enerji-grubu/</x:v>
      </x:c>
      <x:c r="X16" s="32" t="str">
        <x:v>https://www.alarko.com.tr/faaliyet-gruplari/enerji-grubu/</x:v>
      </x:c>
      <x:c r="Y16" s="32"/>
      <x:c r="Z16" s="32" t="str">
        <x:v>10</x:v>
      </x:c>
      <x:c r="AA1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16" s="133" t="str">
        <x:v>Koordinat eksik</x:v>
      </x:c>
      <x:c r="AC16" s="133" t="str">
        <x:v>—</x:v>
      </x:c>
      <x:c r="AD16" s="133"/>
      <x:c r="AE16" s="133"/>
      <x:c r="AF16" s="133"/>
      <x:c r="AG16" s="134"/>
      <x:c r="AH16" s="134"/>
      <x:c r="AI16" s="133"/>
      <x:c r="AJ16" s="133"/>
      <x:c r="AK16" s="135"/>
      <x:c r="AL16" s="133" t="str">
        <x:v>Point</x:v>
      </x:c>
      <x:c r="AM16" s="133"/>
      <x:c r="AN16" s="133" t="str">
        <x:v>Koordinat yok</x:v>
      </x:c>
      <x:c r="AO16" s="133"/>
      <x:c r="AP16" s="133"/>
      <x:c r="AQ16" s="134"/>
      <x:c r="AR16" s="134"/>
      <x:c r="AS16" s="133"/>
      <x:c r="AT16" s="133" t="str">
        <x:v>https://cbs1.tarimorman.gov.tr/server/rest/services/TATUS/FeatureServer/7/query?where=HAVZA_ID%3D3+AND+%28BarajAdi%3D%27ALTEK+G%C3%96NEN%27%29&amp;outFields=OBJECTID%2CBarajAdi%2CHavzaAdi%2CHAVZA_ID%2CIl&amp;returnGeometry=true&amp;outSR=4326&amp;f=geojson</x:v>
      </x:c>
      <x:c r="AU16" s="133" t="str">
        <x:v>Susurluk</x:v>
      </x:c>
      <x:c r="AV16" s="133" t="str">
        <x:v>Polyline / LineString</x:v>
      </x:c>
      <x:c r="AW16" s="133"/>
      <x:c r="AX16" s="133" t="str">
        <x:v>Havza ana akarsuyu ön-eşleme; TATUS spatial query ile doğrulanmalı</x:v>
      </x:c>
      <x:c r="AY16" s="133" t="str">
        <x:v>Polygon</x:v>
      </x:c>
      <x:c r="AZ16" s="133"/>
      <x:c r="BA16" s="133" t="str">
        <x:v>Santral popup: Su alanını göster</x:v>
      </x:c>
      <x:c r="BB16" s="133" t="str">
        <x:v>Yok</x:v>
      </x:c>
      <x:c r="BC16" s="133" t="str">
        <x:v>TATUS baraj point doğrudan eşleşmesi bu çalışma kitabında çözülmedi; sorgu URL'si eklendi; Koordinat eksik olduğu için akarsu ve su toplama alanı spatial sorgusu üretilemedi</x:v>
      </x:c>
    </x:row>
    <x:row r="17" ht="30" customHeight="1">
      <x:c r="A17" s="100" t="n">
        <x:v>14</x:v>
      </x:c>
      <x:c r="B17" s="32" t="str">
        <x:v>ALTINKAYA HES</x:v>
      </x:c>
      <x:c r="C17" s="32" t="str">
        <x:v>Kızılırmak</x:v>
      </x:c>
      <x:c r="D17" s="32" t="str">
        <x:v>Kızılırmak</x:v>
      </x:c>
      <x:c r="E17" s="34" t="n">
        <x:v>15</x:v>
      </x:c>
      <x:c r="F17" s="32" t="str">
        <x:v>https://cbs1.tarimorman.gov.tr/server/rest/services/TATUS/FeatureServer/11/query?where=ID%3D15&amp;outFields=ID%2CHAVZA_ADI%2CALAN_KM2&amp;returnGeometry=true&amp;outSR=4326&amp;f=geojson</x:v>
      </x:c>
      <x:c r="G17" s="32" t="str">
        <x:v>ALTINKAYA</x:v>
      </x:c>
      <x:c r="H17" s="32" t="str">
        <x:v>SAMSUN</x:v>
      </x:c>
      <x:c r="I17" s="36" t="n">
        <x:v>41.363333</x:v>
      </x:c>
      <x:c r="J17" s="36" t="n">
        <x:v>35.724167</x:v>
      </x:c>
      <x:c r="K17" s="38" t="n">
        <x:v>190</x:v>
      </x:c>
      <x:c r="L17" s="38" t="n">
        <x:v>160</x:v>
      </x:c>
      <x:c r="M17" s="32" t="str">
        <x:v>DERBENT HES</x:v>
      </x:c>
      <x:c r="N17" s="38" t="n">
        <x:v>700</x:v>
      </x:c>
      <x:c r="O17" s="38" t="n">
        <x:v>151.7</x:v>
      </x:c>
      <x:c r="P17" s="38" t="n">
        <x:v>5763</x:v>
      </x:c>
      <x:c r="Q17" s="38" t="n">
        <x:v>2871</x:v>
      </x:c>
      <x:c r="R17" s="38" t="n">
        <x:v>1214.23</x:v>
      </x:c>
      <x:c r="S17" s="38" t="n">
        <x:v>343.49</x:v>
      </x:c>
      <x:c r="T17" s="40" t="n">
        <x:v>46278.81434027778</x:v>
      </x:c>
      <x:c r="U17" s="32" t="str">
        <x:v>exact</x:v>
      </x:c>
      <x:c r="V17" s="32" t="str">
        <x:v>A</x:v>
      </x:c>
      <x:c r="W17" s="32" t="str">
        <x:v>Yüklü Debi_ve_Kurulu_Guc-13092026.xlsx</x:v>
      </x:c>
      <x:c r="X17" s="32" t="str">
        <x:v>Yüklü Debi_ve_Kurulu_Guc-13092026.xlsx</x:v>
      </x:c>
      <x:c r="Y17" s="32" t="str">
        <x:v>https://turkiyebarajlar.com/baraj/altinkaya</x:v>
      </x:c>
      <x:c r="Z17" s="32" t="str">
        <x:v>DERBENT HES</x:v>
      </x:c>
      <x:c r="AA17" s="101"/>
      <x:c r="AB17" s="133" t="str">
        <x:v>Doğrulanmış koordinat mevcut</x:v>
      </x:c>
      <x:c r="AC17" s="133" t="str">
        <x:v>HES / baraj noktası</x:v>
      </x:c>
      <x:c r="AD17" s="133" t="n">
        <x:v>593</x:v>
      </x:c>
      <x:c r="AE17" s="133" t="str">
        <x:v>ALTINKAYA HES</x:v>
      </x:c>
      <x:c r="AF17" s="133" t="str">
        <x:v>Samsun</x:v>
      </x:c>
      <x:c r="AG17" s="134" t="n">
        <x:v>41.364</x:v>
      </x:c>
      <x:c r="AH17" s="134" t="n">
        <x:v>35.729</x:v>
      </x:c>
      <x:c r="AI17" s="133" t="str">
        <x:v>Tam ad eşleşmesi</x:v>
      </x:c>
      <x:c r="AJ17" s="133" t="str">
        <x:v>Yüksek</x:v>
      </x:c>
      <x:c r="AK17" s="135" t="n">
        <x:v>0.41</x:v>
      </x:c>
      <x:c r="AL17" s="133" t="str">
        <x:v>Point</x:v>
      </x:c>
      <x:c r="AM17" s="133" t="str">
        <x:v>{"type": "Point", "coordinates": [35.724167, 41.363333]}</x:v>
      </x:c>
      <x:c r="AN17" s="133" t="str">
        <x:v>HES / baraj noktası</x:v>
      </x:c>
      <x:c r="AO17" s="133"/>
      <x:c r="AP17" s="133"/>
      <x:c r="AQ17" s="134"/>
      <x:c r="AR17" s="134"/>
      <x:c r="AS17" s="133"/>
      <x:c r="AT17" s="133" t="str">
        <x:v>https://cbs1.tarimorman.gov.tr/server/rest/services/TATUS/FeatureServer/7/query?where=HAVZA_ID%3D15+AND+%28BarajAdi%3D%27ALTINKAYA%27%29&amp;outFields=OBJECTID%2CBarajAdi%2CHavzaAdi%2CHAVZA_ID%2CIl&amp;returnGeometry=true&amp;outSR=4326&amp;f=geojson</x:v>
      </x:c>
      <x:c r="AU17" s="133" t="str">
        <x:v>Kızılırmak</x:v>
      </x:c>
      <x:c r="AV17" s="133" t="str">
        <x:v>Polyline / LineString</x:v>
      </x:c>
      <x:c r="AW17" s="133" t="str">
        <x:v>https://cbs1.tarimorman.gov.tr/server/rest/services/TATUS/FeatureServer/8/query?where=HAVZA_ID%3D15&amp;geometry=35.724167%2C41.363333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" s="133" t="str">
        <x:v>Havza ana akarsuyu ön-eşleme; TATUS spatial query ile doğrulanmalı</x:v>
      </x:c>
      <x:c r="AY17" s="133" t="str">
        <x:v>Polygon</x:v>
      </x:c>
      <x:c r="AZ17" s="133" t="str">
        <x:v>https://cbs1.tarimorman.gov.tr/server/rest/services/TATUS/FeatureServer/9/query?where=1%3D1&amp;geometry=35.724167%2C41.363333&amp;geometryType=esriGeometryPoint&amp;inSR=4326&amp;spatialRel=esriSpatialRelIntersects&amp;outFields=%2A&amp;returnGeometry=true&amp;outSR=4326&amp;resultRecordCount=5&amp;f=geojson</x:v>
      </x:c>
      <x:c r="BA17" s="133" t="str">
        <x:v>Santral popup: Su alanını göster</x:v>
      </x:c>
      <x:c r="BB17" s="133" t="str">
        <x:v>Yüksek</x:v>
      </x:c>
      <x:c r="BC17" s="133" t="str">
        <x:v>TATUS baraj point doğrudan eşleşmesi bu çalışma kitabında çözülmedi; sorgu URL'si eklendi</x:v>
      </x:c>
    </x:row>
    <x:row r="18" ht="30" customHeight="1">
      <x:c r="A18" s="100" t="n">
        <x:v>15</x:v>
      </x:c>
      <x:c r="B18" s="32" t="str">
        <x:v>ANDIRIN HES</x:v>
      </x:c>
      <x:c r="C18" s="32" t="str">
        <x:v>Ceyhan</x:v>
      </x:c>
      <x:c r="D18" s="32" t="str">
        <x:v>Ceyhan</x:v>
      </x:c>
      <x:c r="E18" s="34" t="n">
        <x:v>20</x:v>
      </x:c>
      <x:c r="F18" s="32" t="str">
        <x:v>https://cbs1.tarimorman.gov.tr/server/rest/services/TATUS/FeatureServer/11/query?where=ID%3D20&amp;outFields=ID%2CHAVZA_ADI%2CALAN_KM2&amp;returnGeometry=true&amp;outSR=4326&amp;f=geojson</x:v>
      </x:c>
      <x:c r="G18" s="32" t="str">
        <x:v>ANDIRIN</x:v>
      </x:c>
      <x:c r="H18" s="32" t="str">
        <x:v>KAHRAMANMARAŞ</x:v>
      </x:c>
      <x:c r="I18" s="36" t="n">
        <x:v>37.533</x:v>
      </x:c>
      <x:c r="J18" s="36" t="n">
        <x:v>36.241</x:v>
      </x:c>
      <x:c r="K18" s="38" t="n">
        <x:v>1070</x:v>
      </x:c>
      <x:c r="L18" s="38" t="n">
        <x:v>1055</x:v>
      </x:c>
      <x:c r="M18" s="32"/>
      <x:c r="N18" s="38" t="n">
        <x:v>40.5</x:v>
      </x:c>
      <x:c r="O18" s="38"/>
      <x:c r="P18" s="38"/>
      <x:c r="Q18" s="38"/>
      <x:c r="R18" s="38"/>
      <x:c r="S18" s="38"/>
      <x:c r="T18" s="40"/>
      <x:c r="U18" s="32" t="str">
        <x:v>eşleşme yok</x:v>
      </x:c>
      <x:c r="V18" s="32" t="str">
        <x:v>C</x:v>
      </x:c>
      <x:c r="W18" s="32" t="str">
        <x:v>https://www.enerjiatlasi.com/hidroelektrik/?v=1.0.24</x:v>
      </x:c>
      <x:c r="X18" s="32" t="str">
        <x:v>https://openinframap.org/stats/area/Turkey/plants?source=hydro</x:v>
      </x:c>
      <x:c r="Y18" s="32" t="str">
        <x:v>hes_MERKEZI_LISTESI.xlsx — trafo merkezi koordinatı (yaklaşık)</x:v>
      </x:c>
      <x:c r="Z18" s="32" t="str">
        <x:v>10</x:v>
      </x:c>
      <x:c r="AA18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8" s="133" t="str">
        <x:v>Trafo merkezi koordinatı ile tamamlandı</x:v>
      </x:c>
      <x:c r="AC18" s="133" t="str">
        <x:v>Trafo merkezi / elektrik bağlantı noktası (yaklaşık)</x:v>
      </x:c>
      <x:c r="AD18" s="133" t="n">
        <x:v>457</x:v>
      </x:c>
      <x:c r="AE18" s="133" t="str">
        <x:v>ANDIRIN HES</x:v>
      </x:c>
      <x:c r="AF18" s="133" t="str">
        <x:v>Kahramanmaraş</x:v>
      </x:c>
      <x:c r="AG18" s="134" t="n">
        <x:v>37.533</x:v>
      </x:c>
      <x:c r="AH18" s="134" t="n">
        <x:v>36.241</x:v>
      </x:c>
      <x:c r="AI18" s="133" t="str">
        <x:v>Tam ad eşleşmesi</x:v>
      </x:c>
      <x:c r="AJ18" s="133" t="str">
        <x:v>Yüksek</x:v>
      </x:c>
      <x:c r="AK18" s="135"/>
      <x:c r="AL18" s="133" t="str">
        <x:v>Point</x:v>
      </x:c>
      <x:c r="AM18" s="133" t="str">
        <x:v>{"type": "Point", "coordinates": [36.241, 37.533]}</x:v>
      </x:c>
      <x:c r="AN18" s="133" t="str">
        <x:v>Trafo merkezi / elektrik bağlantı noktası (yaklaşık)</x:v>
      </x:c>
      <x:c r="AO18" s="133"/>
      <x:c r="AP18" s="133"/>
      <x:c r="AQ18" s="134"/>
      <x:c r="AR18" s="134"/>
      <x:c r="AS18" s="133"/>
      <x:c r="AT18" s="133" t="str">
        <x:v>https://cbs1.tarimorman.gov.tr/server/rest/services/TATUS/FeatureServer/7/query?where=HAVZA_ID%3D20+AND+%28BarajAdi%3D%27ANDIRIN%27%29&amp;outFields=OBJECTID%2CBarajAdi%2CHavzaAdi%2CHAVZA_ID%2CIl&amp;returnGeometry=true&amp;outSR=4326&amp;f=geojson</x:v>
      </x:c>
      <x:c r="AU18" s="133" t="str">
        <x:v>Ceyhan</x:v>
      </x:c>
      <x:c r="AV18" s="133" t="str">
        <x:v>Polyline / LineString</x:v>
      </x:c>
      <x:c r="AW18" s="133" t="str">
        <x:v>https://cbs1.tarimorman.gov.tr/server/rest/services/TATUS/FeatureServer/8/query?where=HAVZA_ID%3D20&amp;geometry=36.241000%2C37.533000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8" s="133" t="str">
        <x:v>Havza ana akarsuyu ön-eşleme; TATUS spatial query ile doğrulanmalı</x:v>
      </x:c>
      <x:c r="AY18" s="133" t="str">
        <x:v>Polygon</x:v>
      </x:c>
      <x:c r="AZ18" s="133" t="str">
        <x:v>https://cbs1.tarimorman.gov.tr/server/rest/services/TATUS/FeatureServer/9/query?where=1%3D1&amp;geometry=36.241000%2C37.533000&amp;geometryType=esriGeometryPoint&amp;inSR=4326&amp;spatialRel=esriSpatialRelIntersects&amp;outFields=%2A&amp;returnGeometry=true&amp;outSR=4326&amp;resultRecordCount=5&amp;f=geojson</x:v>
      </x:c>
      <x:c r="BA18" s="133" t="str">
        <x:v>Santral popup: Su alanını göster</x:v>
      </x:c>
      <x:c r="BB18" s="133" t="str">
        <x:v>Orta-Düşük</x:v>
      </x:c>
      <x:c r="BC18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9" ht="30" customHeight="1">
      <x:c r="A19" s="100" t="n">
        <x:v>16</x:v>
      </x:c>
      <x:c r="B19" s="32" t="str">
        <x:v>ARAÇ HES</x:v>
      </x:c>
      <x:c r="C19" s="32" t="str">
        <x:v>Batı Karadeniz</x:v>
      </x:c>
      <x:c r="D19" s="32" t="str">
        <x:v>Batı Karadeniz</x:v>
      </x:c>
      <x:c r="E19" s="34" t="n">
        <x:v>13</x:v>
      </x:c>
      <x:c r="F19" s="32" t="str">
        <x:v>https://cbs1.tarimorman.gov.tr/server/rest/services/TATUS/FeatureServer/11/query?where=ID%3D13&amp;outFields=ID%2CHAVZA_ADI%2CALAN_KM2&amp;returnGeometry=true&amp;outSR=4326&amp;f=geojson</x:v>
      </x:c>
      <x:c r="G19" s="32" t="str">
        <x:v>Araç Barajı</x:v>
      </x:c>
      <x:c r="H19" s="32" t="str">
        <x:v>KASTAMONU</x:v>
      </x:c>
      <x:c r="I19" s="36"/>
      <x:c r="J19" s="36"/>
      <x:c r="K19" s="38" t="n">
        <x:v>736</x:v>
      </x:c>
      <x:c r="L19" s="38" t="n">
        <x:v>710</x:v>
      </x:c>
      <x:c r="M19" s="32"/>
      <x:c r="N19" s="38" t="n">
        <x:v>5</x:v>
      </x:c>
      <x:c r="O19" s="38" t="n">
        <x:v>16.6</x:v>
      </x:c>
      <x:c r="P19" s="38" t="n">
        <x:v>53.43</x:v>
      </x:c>
      <x:c r="Q19" s="38" t="n">
        <x:v>7.9</x:v>
      </x:c>
      <x:c r="R19" s="38" t="n">
        <x:v>11.64</x:v>
      </x:c>
      <x:c r="S19" s="38" t="n">
        <x:v>1.32</x:v>
      </x:c>
      <x:c r="T19" s="40" t="n">
        <x:v>46278.81434027778</x:v>
      </x:c>
      <x:c r="U19" s="32" t="str">
        <x:v>exact</x:v>
      </x:c>
      <x:c r="V19" s="32" t="str">
        <x:v>B</x:v>
      </x:c>
      <x:c r="W19" s="32" t="str">
        <x:v>Yüklü Debi_ve_Kurulu_Guc-13092026.xlsx</x:v>
      </x:c>
      <x:c r="X19" s="32" t="str">
        <x:v>Yüklü Debi_ve_Kurulu_Guc-13092026.xlsx</x:v>
      </x:c>
      <x:c r="Y19" s="32"/>
      <x:c r="Z19" s="32" t="str">
        <x:v>10</x:v>
      </x:c>
      <x:c r="AA19" s="101" t="str">
        <x:v>Kaskat alanında kaynak değeri '10' (belirsiz/sentinel); Koordinat güvenilir açık kaynaktan doğrulanamadı</x:v>
      </x:c>
      <x:c r="AB19" s="133" t="str">
        <x:v>Koordinat eksik</x:v>
      </x:c>
      <x:c r="AC19" s="133" t="str">
        <x:v>—</x:v>
      </x:c>
      <x:c r="AD19" s="133"/>
      <x:c r="AE19" s="133"/>
      <x:c r="AF19" s="133"/>
      <x:c r="AG19" s="134"/>
      <x:c r="AH19" s="134"/>
      <x:c r="AI19" s="133"/>
      <x:c r="AJ19" s="133"/>
      <x:c r="AK19" s="135"/>
      <x:c r="AL19" s="133" t="str">
        <x:v>Point</x:v>
      </x:c>
      <x:c r="AM19" s="133"/>
      <x:c r="AN19" s="133" t="str">
        <x:v>Koordinat yok</x:v>
      </x:c>
      <x:c r="AO19" s="133"/>
      <x:c r="AP19" s="133"/>
      <x:c r="AQ19" s="134"/>
      <x:c r="AR19" s="134"/>
      <x:c r="AS19" s="133"/>
      <x:c r="AT19" s="133" t="str">
        <x:v>https://cbs1.tarimorman.gov.tr/server/rest/services/TATUS/FeatureServer/7/query?where=HAVZA_ID%3D13+AND+%28BarajAdi%3D%27Ara%C3%A7+Baraj%C4%B1%27+OR+BarajAdi%3D%27ARA%C3%87%27%29&amp;outFields=OBJECTID%2CBarajAdi%2CHavzaAdi%2CHAVZA_ID%2CIl&amp;returnGeometry=true&amp;outSR=4326&amp;f=geojson</x:v>
      </x:c>
      <x:c r="AU19" s="133"/>
      <x:c r="AV19" s="133" t="str">
        <x:v>Polyline / LineString</x:v>
      </x:c>
      <x:c r="AW19" s="133"/>
      <x:c r="AX19" s="133" t="str">
        <x:v>Koordinat yok; spatial eşleme yapılamadı</x:v>
      </x:c>
      <x:c r="AY19" s="133" t="str">
        <x:v>Polygon</x:v>
      </x:c>
      <x:c r="AZ19" s="133"/>
      <x:c r="BA19" s="133" t="str">
        <x:v>Santral popup: Su alanını göster</x:v>
      </x:c>
      <x:c r="BB19" s="133" t="str">
        <x:v>Yok</x:v>
      </x:c>
      <x:c r="BC19" s="133" t="str">
        <x:v>TATUS baraj point doğrudan eşleşmesi bu çalışma kitabında çözülmedi; sorgu URL'si eklendi; Koordinat eksik olduğu için akarsu ve su toplama alanı spatial sorgusu üretilemedi</x:v>
      </x:c>
    </x:row>
    <x:row r="20" ht="30" customHeight="1">
      <x:c r="A20" s="100" t="n">
        <x:v>17</x:v>
      </x:c>
      <x:c r="B20" s="32" t="str">
        <x:v>ARDAHAN AKINCI HES</x:v>
      </x:c>
      <x:c r="C20" s="32" t="str">
        <x:v>Aras</x:v>
      </x:c>
      <x:c r="D20" s="32" t="str">
        <x:v>Aras</x:v>
      </x:c>
      <x:c r="E20" s="34" t="n">
        <x:v>24</x:v>
      </x:c>
      <x:c r="F20" s="32" t="str">
        <x:v>https://cbs1.tarimorman.gov.tr/server/rest/services/TATUS/FeatureServer/11/query?where=ID%3D24&amp;outFields=ID%2CHAVZA_ADI%2CALAN_KM2&amp;returnGeometry=true&amp;outSR=4326&amp;f=geojson</x:v>
      </x:c>
      <x:c r="G20" s="32" t="str">
        <x:v>ARDAHAN AKINCI</x:v>
      </x:c>
      <x:c r="H20" s="32" t="str">
        <x:v>ARDAHAN</x:v>
      </x:c>
      <x:c r="I20" s="36" t="n">
        <x:v>41.2235</x:v>
      </x:c>
      <x:c r="J20" s="36" t="n">
        <x:v>43.1035</x:v>
      </x:c>
      <x:c r="K20" s="38" t="n">
        <x:v>1577</x:v>
      </x:c>
      <x:c r="L20" s="38" t="n">
        <x:v>1550</x:v>
      </x:c>
      <x:c r="M20" s="32"/>
      <x:c r="N20" s="38" t="n">
        <x:v>84.681</x:v>
      </x:c>
      <x:c r="O20" s="38"/>
      <x:c r="P20" s="38"/>
      <x:c r="Q20" s="38"/>
      <x:c r="R20" s="38"/>
      <x:c r="S20" s="38"/>
      <x:c r="T20" s="40"/>
      <x:c r="U20" s="32" t="str">
        <x:v>eşleşme yok</x:v>
      </x:c>
      <x:c r="V20" s="32" t="str">
        <x:v>B</x:v>
      </x:c>
      <x:c r="W20" s="32" t="str">
        <x:v>https://webdosya.csb.gov.tr/db/ced/icerikler/ardahan_-cdr-2024-20250917092626.pdf</x:v>
      </x:c>
      <x:c r="X20" s="32" t="str">
        <x:v>https://webdosya.csb.gov.tr/db/ced/icerikler/ardahan_-cdr-2024-20250917092626.pdf</x:v>
      </x:c>
      <x:c r="Y20" s="32" t="str">
        <x:v>https://www.gem.wiki/Akinci_Cildir_hydroelectric_plant</x:v>
      </x:c>
      <x:c r="Z20" s="32" t="str">
        <x:v>10</x:v>
      </x:c>
      <x:c r="AA2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Koordinat Global Energy Monitor kaynaklı; Ünite debisi doğrulanamadı; Maksimum/minimum hacim doğrulanamadı</x:v>
      </x:c>
      <x:c r="AB20" s="133" t="str">
        <x:v>Doğrulanmış koordinat mevcut</x:v>
      </x:c>
      <x:c r="AC20" s="133" t="str">
        <x:v>HES / baraj noktası</x:v>
      </x:c>
      <x:c r="AD20" s="133"/>
      <x:c r="AE20" s="133"/>
      <x:c r="AF20" s="133"/>
      <x:c r="AG20" s="134"/>
      <x:c r="AH20" s="134"/>
      <x:c r="AI20" s="133"/>
      <x:c r="AJ20" s="133"/>
      <x:c r="AK20" s="135"/>
      <x:c r="AL20" s="133" t="str">
        <x:v>Point</x:v>
      </x:c>
      <x:c r="AM20" s="133" t="str">
        <x:v>{"type": "Point", "coordinates": [43.1035, 41.2235]}</x:v>
      </x:c>
      <x:c r="AN20" s="133" t="str">
        <x:v>HES / baraj noktası</x:v>
      </x:c>
      <x:c r="AO20" s="133"/>
      <x:c r="AP20" s="133"/>
      <x:c r="AQ20" s="134"/>
      <x:c r="AR20" s="134"/>
      <x:c r="AS20" s="133"/>
      <x:c r="AT20" s="133" t="str">
        <x:v>https://cbs1.tarimorman.gov.tr/server/rest/services/TATUS/FeatureServer/7/query?where=HAVZA_ID%3D24+AND+%28BarajAdi%3D%27ARDAHAN+AKINCI%27%29&amp;outFields=OBJECTID%2CBarajAdi%2CHavzaAdi%2CHAVZA_ID%2CIl&amp;returnGeometry=true&amp;outSR=4326&amp;f=geojson</x:v>
      </x:c>
      <x:c r="AU20" s="133" t="str">
        <x:v>Aras</x:v>
      </x:c>
      <x:c r="AV20" s="133" t="str">
        <x:v>Polyline / LineString</x:v>
      </x:c>
      <x:c r="AW20" s="133" t="str">
        <x:v>https://cbs1.tarimorman.gov.tr/server/rest/services/TATUS/FeatureServer/8/query?where=HAVZA_ID%3D24&amp;geometry=43.103500%2C41.223500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0" s="133" t="str">
        <x:v>Havza ana akarsuyu ön-eşleme; TATUS spatial query ile doğrulanmalı</x:v>
      </x:c>
      <x:c r="AY20" s="133" t="str">
        <x:v>Polygon</x:v>
      </x:c>
      <x:c r="AZ20" s="133" t="str">
        <x:v>https://cbs1.tarimorman.gov.tr/server/rest/services/TATUS/FeatureServer/9/query?where=1%3D1&amp;geometry=43.103500%2C41.223500&amp;geometryType=esriGeometryPoint&amp;inSR=4326&amp;spatialRel=esriSpatialRelIntersects&amp;outFields=%2A&amp;returnGeometry=true&amp;outSR=4326&amp;resultRecordCount=5&amp;f=geojson</x:v>
      </x:c>
      <x:c r="BA20" s="133" t="str">
        <x:v>Santral popup: Su alanını göster</x:v>
      </x:c>
      <x:c r="BB20" s="133" t="str">
        <x:v>Yüksek</x:v>
      </x:c>
      <x:c r="BC20" s="133" t="str">
        <x:v>TATUS baraj point doğrudan eşleşmesi bu çalışma kitabında çözülmedi; sorgu URL'si eklendi</x:v>
      </x:c>
    </x:row>
    <x:row r="21" ht="30" customHeight="1">
      <x:c r="A21" s="100" t="n">
        <x:v>18</x:v>
      </x:c>
      <x:c r="B21" s="32" t="str">
        <x:v>ARKUN HES</x:v>
      </x:c>
      <x:c r="C21" s="32" t="str">
        <x:v>Çoruh</x:v>
      </x:c>
      <x:c r="D21" s="32" t="str">
        <x:v>Çoruh</x:v>
      </x:c>
      <x:c r="E21" s="34" t="n">
        <x:v>23</x:v>
      </x:c>
      <x:c r="F21" s="32" t="str">
        <x:v>https://cbs1.tarimorman.gov.tr/server/rest/services/TATUS/FeatureServer/11/query?where=ID%3D23&amp;outFields=ID%2CHAVZA_ADI%2CALAN_KM2&amp;returnGeometry=true&amp;outSR=4326&amp;f=geojson</x:v>
      </x:c>
      <x:c r="G21" s="32" t="str">
        <x:v>ARKUN</x:v>
      </x:c>
      <x:c r="H21" s="32" t="str">
        <x:v>ERZURUM</x:v>
      </x:c>
      <x:c r="I21" s="36" t="n">
        <x:v>40.719</x:v>
      </x:c>
      <x:c r="J21" s="36" t="n">
        <x:v>41.418</x:v>
      </x:c>
      <x:c r="K21" s="38" t="n">
        <x:v>935</x:v>
      </x:c>
      <x:c r="L21" s="38" t="n">
        <x:v>871.5</x:v>
      </x:c>
      <x:c r="M21" s="32" t="str">
        <x:v>YUSUFELİ HES</x:v>
      </x:c>
      <x:c r="N21" s="38" t="n">
        <x:v>245</x:v>
      </x:c>
      <x:c r="O21" s="38"/>
      <x:c r="P21" s="38"/>
      <x:c r="Q21" s="38"/>
      <x:c r="R21" s="38"/>
      <x:c r="S21" s="38"/>
      <x:c r="T21" s="40"/>
      <x:c r="U21" s="32" t="str">
        <x:v>eşleşme yok</x:v>
      </x:c>
      <x:c r="V21" s="32" t="str">
        <x:v>C</x:v>
      </x:c>
      <x:c r="W21" s="32" t="str">
        <x:v>https://www.enerjiatlasi.com/hidroelektrik/?v=1.0.24</x:v>
      </x:c>
      <x:c r="X21" s="32" t="str">
        <x:v>https://openinframap.org/stats/area/Turkey/plants?source=hydro</x:v>
      </x:c>
      <x:c r="Y21" s="32" t="str">
        <x:v>hes_MERKEZI_LISTESI.xlsx — trafo merkezi koordinatı (yaklaşık)</x:v>
      </x:c>
      <x:c r="Z21" s="32" t="str">
        <x:v>YUSUFELİ HES</x:v>
      </x:c>
      <x:c r="AA21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21" s="133" t="str">
        <x:v>Trafo merkezi koordinatı ile tamamlandı</x:v>
      </x:c>
      <x:c r="AC21" s="133" t="str">
        <x:v>Trafo merkezi / elektrik bağlantı noktası (yaklaşık)</x:v>
      </x:c>
      <x:c r="AD21" s="133" t="n">
        <x:v>1186</x:v>
      </x:c>
      <x:c r="AE21" s="133" t="str">
        <x:v>ARKUN HES</x:v>
      </x:c>
      <x:c r="AF21" s="133" t="str">
        <x:v>Artvin</x:v>
      </x:c>
      <x:c r="AG21" s="134" t="n">
        <x:v>40.719</x:v>
      </x:c>
      <x:c r="AH21" s="134" t="n">
        <x:v>41.418</x:v>
      </x:c>
      <x:c r="AI21" s="133" t="str">
        <x:v>Tam ad eşleşmesi</x:v>
      </x:c>
      <x:c r="AJ21" s="133" t="str">
        <x:v>Yüksek</x:v>
      </x:c>
      <x:c r="AK21" s="135"/>
      <x:c r="AL21" s="133" t="str">
        <x:v>Point</x:v>
      </x:c>
      <x:c r="AM21" s="133" t="str">
        <x:v>{"type": "Point", "coordinates": [41.418, 40.719]}</x:v>
      </x:c>
      <x:c r="AN21" s="133" t="str">
        <x:v>Trafo merkezi / elektrik bağlantı noktası (yaklaşık)</x:v>
      </x:c>
      <x:c r="AO21" s="133"/>
      <x:c r="AP21" s="133"/>
      <x:c r="AQ21" s="134"/>
      <x:c r="AR21" s="134"/>
      <x:c r="AS21" s="133"/>
      <x:c r="AT21" s="133" t="str">
        <x:v>https://cbs1.tarimorman.gov.tr/server/rest/services/TATUS/FeatureServer/7/query?where=HAVZA_ID%3D23+AND+%28BarajAdi%3D%27ARKUN%27%29&amp;outFields=OBJECTID%2CBarajAdi%2CHavzaAdi%2CHAVZA_ID%2CIl&amp;returnGeometry=true&amp;outSR=4326&amp;f=geojson</x:v>
      </x:c>
      <x:c r="AU21" s="133" t="str">
        <x:v>Çoruh</x:v>
      </x:c>
      <x:c r="AV21" s="133" t="str">
        <x:v>Polyline / LineString</x:v>
      </x:c>
      <x:c r="AW21" s="133" t="str">
        <x:v>https://cbs1.tarimorman.gov.tr/server/rest/services/TATUS/FeatureServer/8/query?where=HAVZA_ID%3D23&amp;geometry=41.418000%2C40.719000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1" s="133" t="str">
        <x:v>Havza ana akarsuyu ön-eşleme; TATUS spatial query ile doğrulanmalı</x:v>
      </x:c>
      <x:c r="AY21" s="133" t="str">
        <x:v>Polygon</x:v>
      </x:c>
      <x:c r="AZ21" s="133" t="str">
        <x:v>https://cbs1.tarimorman.gov.tr/server/rest/services/TATUS/FeatureServer/9/query?where=1%3D1&amp;geometry=41.418000%2C40.719000&amp;geometryType=esriGeometryPoint&amp;inSR=4326&amp;spatialRel=esriSpatialRelIntersects&amp;outFields=%2A&amp;returnGeometry=true&amp;outSR=4326&amp;resultRecordCount=5&amp;f=geojson</x:v>
      </x:c>
      <x:c r="BA21" s="133" t="str">
        <x:v>Santral popup: Su alanını göster</x:v>
      </x:c>
      <x:c r="BB21" s="133" t="str">
        <x:v>Orta-Düşük</x:v>
      </x:c>
      <x:c r="BC21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22" ht="30" customHeight="1">
      <x:c r="A22" s="100" t="n">
        <x:v>19</x:v>
      </x:c>
      <x:c r="B22" s="32" t="str">
        <x:v>ARTVİN HES</x:v>
      </x:c>
      <x:c r="C22" s="32" t="str">
        <x:v>Çoruh</x:v>
      </x:c>
      <x:c r="D22" s="32" t="str">
        <x:v>Çoruh</x:v>
      </x:c>
      <x:c r="E22" s="34" t="n">
        <x:v>23</x:v>
      </x:c>
      <x:c r="F22" s="32" t="str">
        <x:v>https://cbs1.tarimorman.gov.tr/server/rest/services/TATUS/FeatureServer/11/query?where=ID%3D23&amp;outFields=ID%2CHAVZA_ADI%2CALAN_KM2&amp;returnGeometry=true&amp;outSR=4326&amp;f=geojson</x:v>
      </x:c>
      <x:c r="G22" s="32" t="str">
        <x:v>ARTVİN</x:v>
      </x:c>
      <x:c r="H22" s="32" t="str">
        <x:v>ARTVİN</x:v>
      </x:c>
      <x:c r="I22" s="36" t="n">
        <x:v>40.951</x:v>
      </x:c>
      <x:c r="J22" s="36" t="n">
        <x:v>41.763</x:v>
      </x:c>
      <x:c r="K22" s="38" t="n">
        <x:v>500.5</x:v>
      </x:c>
      <x:c r="L22" s="38" t="n">
        <x:v>498</x:v>
      </x:c>
      <x:c r="M22" s="32" t="str">
        <x:v>DERİNER HES</x:v>
      </x:c>
      <x:c r="N22" s="38" t="n">
        <x:v>332</x:v>
      </x:c>
      <x:c r="O22" s="38"/>
      <x:c r="P22" s="38"/>
      <x:c r="Q22" s="38"/>
      <x:c r="R22" s="38"/>
      <x:c r="S22" s="38"/>
      <x:c r="T22" s="40"/>
      <x:c r="U22" s="32" t="str">
        <x:v>eşleşme yok</x:v>
      </x:c>
      <x:c r="V22" s="32" t="str">
        <x:v>C</x:v>
      </x:c>
      <x:c r="W22" s="32" t="str">
        <x:v>https://openinframap.org/stats/area/Turkey/plants?source=hydro</x:v>
      </x:c>
      <x:c r="X22" s="32" t="str">
        <x:v>https://openinframap.org/stats/area/Turkey/plants?source=hydro</x:v>
      </x:c>
      <x:c r="Y22" s="32" t="str">
        <x:v>hes_MERKEZI_LISTESI.xlsx — trafo merkezi koordinatı (yaklaşık)</x:v>
      </x:c>
      <x:c r="Z22" s="32" t="str">
        <x:v>DERİNER HES</x:v>
      </x:c>
      <x:c r="AA22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22" s="133" t="str">
        <x:v>Trafo merkezi koordinatı ile tamamlandı</x:v>
      </x:c>
      <x:c r="AC22" s="133" t="str">
        <x:v>Trafo merkezi / elektrik bağlantı noktası (yaklaşık)</x:v>
      </x:c>
      <x:c r="AD22" s="133" t="n">
        <x:v>1290</x:v>
      </x:c>
      <x:c r="AE22" s="133" t="str">
        <x:v>ARTVİN HES</x:v>
      </x:c>
      <x:c r="AF22" s="133" t="str">
        <x:v>Artvin</x:v>
      </x:c>
      <x:c r="AG22" s="134" t="n">
        <x:v>40.951</x:v>
      </x:c>
      <x:c r="AH22" s="134" t="n">
        <x:v>41.763</x:v>
      </x:c>
      <x:c r="AI22" s="133" t="str">
        <x:v>Tam ad eşleşmesi</x:v>
      </x:c>
      <x:c r="AJ22" s="133" t="str">
        <x:v>Yüksek</x:v>
      </x:c>
      <x:c r="AK22" s="135"/>
      <x:c r="AL22" s="133" t="str">
        <x:v>Point</x:v>
      </x:c>
      <x:c r="AM22" s="133" t="str">
        <x:v>{"type": "Point", "coordinates": [41.763, 40.951]}</x:v>
      </x:c>
      <x:c r="AN22" s="133" t="str">
        <x:v>Trafo merkezi / elektrik bağlantı noktası (yaklaşık)</x:v>
      </x:c>
      <x:c r="AO22" s="133"/>
      <x:c r="AP22" s="133"/>
      <x:c r="AQ22" s="134"/>
      <x:c r="AR22" s="134"/>
      <x:c r="AS22" s="133"/>
      <x:c r="AT22" s="133" t="str">
        <x:v>https://cbs1.tarimorman.gov.tr/server/rest/services/TATUS/FeatureServer/7/query?where=HAVZA_ID%3D23+AND+%28BarajAdi%3D%27ARTV%C4%B0N%27%29&amp;outFields=OBJECTID%2CBarajAdi%2CHavzaAdi%2CHAVZA_ID%2CIl&amp;returnGeometry=true&amp;outSR=4326&amp;f=geojson</x:v>
      </x:c>
      <x:c r="AU22" s="133" t="str">
        <x:v>Çoruh</x:v>
      </x:c>
      <x:c r="AV22" s="133" t="str">
        <x:v>Polyline / LineString</x:v>
      </x:c>
      <x:c r="AW22" s="133" t="str">
        <x:v>https://cbs1.tarimorman.gov.tr/server/rest/services/TATUS/FeatureServer/8/query?where=HAVZA_ID%3D23&amp;geometry=41.763000%2C40.951000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2" s="133" t="str">
        <x:v>Havza ana akarsuyu ön-eşleme; TATUS spatial query ile doğrulanmalı</x:v>
      </x:c>
      <x:c r="AY22" s="133" t="str">
        <x:v>Polygon</x:v>
      </x:c>
      <x:c r="AZ22" s="133" t="str">
        <x:v>https://cbs1.tarimorman.gov.tr/server/rest/services/TATUS/FeatureServer/9/query?where=1%3D1&amp;geometry=41.763000%2C40.951000&amp;geometryType=esriGeometryPoint&amp;inSR=4326&amp;spatialRel=esriSpatialRelIntersects&amp;outFields=%2A&amp;returnGeometry=true&amp;outSR=4326&amp;resultRecordCount=5&amp;f=geojson</x:v>
      </x:c>
      <x:c r="BA22" s="133" t="str">
        <x:v>Santral popup: Su alanını göster</x:v>
      </x:c>
      <x:c r="BB22" s="133" t="str">
        <x:v>Orta-Düşük</x:v>
      </x:c>
      <x:c r="BC2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23" ht="30" customHeight="1">
      <x:c r="A23" s="100" t="n">
        <x:v>20</x:v>
      </x:c>
      <x:c r="B23" s="32" t="str">
        <x:v>ASLANCIK HES</x:v>
      </x:c>
      <x:c r="C23" s="32" t="str">
        <x:v>Doğu Karadeniz</x:v>
      </x:c>
      <x:c r="D23" s="32" t="str">
        <x:v>Doğu Karadeniz</x:v>
      </x:c>
      <x:c r="E23" s="34" t="n">
        <x:v>22</x:v>
      </x:c>
      <x:c r="F23" s="32" t="str">
        <x:v>https://cbs1.tarimorman.gov.tr/server/rest/services/TATUS/FeatureServer/11/query?where=ID%3D22&amp;outFields=ID%2CHAVZA_ADI%2CALAN_KM2&amp;returnGeometry=true&amp;outSR=4326&amp;f=geojson</x:v>
      </x:c>
      <x:c r="G23" s="32" t="str">
        <x:v>ASLANCIK</x:v>
      </x:c>
      <x:c r="H23" s="32" t="str">
        <x:v>GİRESUN</x:v>
      </x:c>
      <x:c r="I23" s="36" t="n">
        <x:v>40.911</x:v>
      </x:c>
      <x:c r="J23" s="36" t="n">
        <x:v>38.846</x:v>
      </x:c>
      <x:c r="K23" s="38" t="n">
        <x:v>183</x:v>
      </x:c>
      <x:c r="L23" s="38" t="n">
        <x:v>180</x:v>
      </x:c>
      <x:c r="M23" s="32"/>
      <x:c r="N23" s="38" t="n">
        <x:v>98</x:v>
      </x:c>
      <x:c r="O23" s="38"/>
      <x:c r="P23" s="38"/>
      <x:c r="Q23" s="38"/>
      <x:c r="R23" s="38"/>
      <x:c r="S23" s="38"/>
      <x:c r="T23" s="40"/>
      <x:c r="U23" s="32" t="str">
        <x:v>eşleşme yok</x:v>
      </x:c>
      <x:c r="V23" s="32" t="str">
        <x:v>C</x:v>
      </x:c>
      <x:c r="W23" s="32" t="str">
        <x:v>https://www.enerjiatlasi.com/hidroelektrik/?v=1.0.24</x:v>
      </x:c>
      <x:c r="X23" s="32" t="str">
        <x:v>https://openinframap.org/stats/area/Turkey/plants?source=hydro</x:v>
      </x:c>
      <x:c r="Y23" s="32" t="str">
        <x:v>hes_MERKEZI_LISTESI.xlsx — trafo merkezi koordinatı (yaklaşık)</x:v>
      </x:c>
      <x:c r="Z23" s="32" t="str">
        <x:v>10</x:v>
      </x:c>
      <x:c r="AA23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23" s="133" t="str">
        <x:v>Trafo merkezi koordinatı ile tamamlandı</x:v>
      </x:c>
      <x:c r="AC23" s="133" t="str">
        <x:v>Trafo merkezi / elektrik bağlantı noktası (yaklaşık)</x:v>
      </x:c>
      <x:c r="AD23" s="133" t="n">
        <x:v>831</x:v>
      </x:c>
      <x:c r="AE23" s="133" t="str">
        <x:v>ASLANCIK HES</x:v>
      </x:c>
      <x:c r="AF23" s="133" t="str">
        <x:v>Giresun</x:v>
      </x:c>
      <x:c r="AG23" s="134" t="n">
        <x:v>40.911</x:v>
      </x:c>
      <x:c r="AH23" s="134" t="n">
        <x:v>38.846</x:v>
      </x:c>
      <x:c r="AI23" s="133" t="str">
        <x:v>Tam ad eşleşmesi</x:v>
      </x:c>
      <x:c r="AJ23" s="133" t="str">
        <x:v>Yüksek</x:v>
      </x:c>
      <x:c r="AK23" s="135"/>
      <x:c r="AL23" s="133" t="str">
        <x:v>Point</x:v>
      </x:c>
      <x:c r="AM23" s="133" t="str">
        <x:v>{"type": "Point", "coordinates": [38.846, 40.911]}</x:v>
      </x:c>
      <x:c r="AN23" s="133" t="str">
        <x:v>Trafo merkezi / elektrik bağlantı noktası (yaklaşık)</x:v>
      </x:c>
      <x:c r="AO23" s="133"/>
      <x:c r="AP23" s="133"/>
      <x:c r="AQ23" s="134"/>
      <x:c r="AR23" s="134"/>
      <x:c r="AS23" s="133"/>
      <x:c r="AT23" s="133" t="str">
        <x:v>https://cbs1.tarimorman.gov.tr/server/rest/services/TATUS/FeatureServer/7/query?where=HAVZA_ID%3D22+AND+%28BarajAdi%3D%27ASLANCIK%27%29&amp;outFields=OBJECTID%2CBarajAdi%2CHavzaAdi%2CHAVZA_ID%2CIl&amp;returnGeometry=true&amp;outSR=4326&amp;f=geojson</x:v>
      </x:c>
      <x:c r="AU23" s="133"/>
      <x:c r="AV23" s="133" t="str">
        <x:v>Polyline / LineString</x:v>
      </x:c>
      <x:c r="AW23" s="133" t="str">
        <x:v>https://cbs1.tarimorman.gov.tr/server/rest/services/TATUS/FeatureServer/8/query?where=HAVZA_ID%3D22&amp;geometry=38.846000%2C40.911000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3" s="133" t="str">
        <x:v>TATUS spatial query hazır; en yakın/uygun LineString seçilmeli</x:v>
      </x:c>
      <x:c r="AY23" s="133" t="str">
        <x:v>Polygon</x:v>
      </x:c>
      <x:c r="AZ23" s="133" t="str">
        <x:v>https://cbs1.tarimorman.gov.tr/server/rest/services/TATUS/FeatureServer/9/query?where=1%3D1&amp;geometry=38.846000%2C40.911000&amp;geometryType=esriGeometryPoint&amp;inSR=4326&amp;spatialRel=esriSpatialRelIntersects&amp;outFields=%2A&amp;returnGeometry=true&amp;outSR=4326&amp;resultRecordCount=5&amp;f=geojson</x:v>
      </x:c>
      <x:c r="BA23" s="133" t="str">
        <x:v>Santral popup: Su alanını göster</x:v>
      </x:c>
      <x:c r="BB23" s="133" t="str">
        <x:v>Orta-Düşük</x:v>
      </x:c>
      <x:c r="BC23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24" ht="30" customHeight="1">
      <x:c r="A24" s="100" t="n">
        <x:v>21</x:v>
      </x:c>
      <x:c r="B24" s="32" t="str">
        <x:v>ASLANDAĞI HES</x:v>
      </x:c>
      <x:c r="C24" s="32" t="str">
        <x:v>Van Gölü</x:v>
      </x:c>
      <x:c r="D24" s="32" t="str">
        <x:v>Van Gölü</x:v>
      </x:c>
      <x:c r="E24" s="34" t="n">
        <x:v>25</x:v>
      </x:c>
      <x:c r="F24" s="32" t="str">
        <x:v>https://cbs1.tarimorman.gov.tr/server/rest/services/TATUS/FeatureServer/11/query?where=ID%3D25&amp;outFields=ID%2CHAVZA_ADI%2CALAN_KM2&amp;returnGeometry=true&amp;outSR=4326&amp;f=geojson</x:v>
      </x:c>
      <x:c r="G24" s="32" t="str">
        <x:v>ASLANDAĞI</x:v>
      </x:c>
      <x:c r="H24" s="32" t="str">
        <x:v>HAKKARİ</x:v>
      </x:c>
      <x:c r="I24" s="36"/>
      <x:c r="J24" s="36"/>
      <x:c r="K24" s="38" t="n">
        <x:v>1320.5</x:v>
      </x:c>
      <x:c r="L24" s="38" t="n">
        <x:v>1315</x:v>
      </x:c>
      <x:c r="M24" s="32"/>
      <x:c r="N24" s="38" t="n">
        <x:v>19.16</x:v>
      </x:c>
      <x:c r="O24" s="38"/>
      <x:c r="P24" s="38"/>
      <x:c r="Q24" s="38"/>
      <x:c r="R24" s="38"/>
      <x:c r="S24" s="38"/>
      <x:c r="T24" s="40"/>
      <x:c r="U24" s="32" t="str">
        <x:v>eşleşme yok</x:v>
      </x:c>
      <x:c r="V24" s="32" t="str">
        <x:v>C</x:v>
      </x:c>
      <x:c r="W24" s="32" t="str">
        <x:v>https://webdosya.csb.gov.tr/db/ced/icerikler/hakkar-_-cdr2022-20230829101004.pdf</x:v>
      </x:c>
      <x:c r="X24" s="32" t="str">
        <x:v>https://openinframap.org/stats/area/Turkey/plants?source=hydro</x:v>
      </x:c>
      <x:c r="Y24" s="32"/>
      <x:c r="Z24" s="32" t="str">
        <x:v>10</x:v>
      </x:c>
      <x:c r="AA2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24" s="133" t="str">
        <x:v>Koordinat eksik</x:v>
      </x:c>
      <x:c r="AC24" s="133" t="str">
        <x:v>—</x:v>
      </x:c>
      <x:c r="AD24" s="133"/>
      <x:c r="AE24" s="133"/>
      <x:c r="AF24" s="133"/>
      <x:c r="AG24" s="134"/>
      <x:c r="AH24" s="134"/>
      <x:c r="AI24" s="133"/>
      <x:c r="AJ24" s="133"/>
      <x:c r="AK24" s="135"/>
      <x:c r="AL24" s="133" t="str">
        <x:v>Point</x:v>
      </x:c>
      <x:c r="AM24" s="133"/>
      <x:c r="AN24" s="133" t="str">
        <x:v>Koordinat yok</x:v>
      </x:c>
      <x:c r="AO24" s="133"/>
      <x:c r="AP24" s="133"/>
      <x:c r="AQ24" s="134"/>
      <x:c r="AR24" s="134"/>
      <x:c r="AS24" s="133"/>
      <x:c r="AT24" s="133" t="str">
        <x:v>https://cbs1.tarimorman.gov.tr/server/rest/services/TATUS/FeatureServer/7/query?where=HAVZA_ID%3D25+AND+%28BarajAdi%3D%27ASLANDA%C4%9EI%27%29&amp;outFields=OBJECTID%2CBarajAdi%2CHavzaAdi%2CHAVZA_ID%2CIl&amp;returnGeometry=true&amp;outSR=4326&amp;f=geojson</x:v>
      </x:c>
      <x:c r="AU24" s="133"/>
      <x:c r="AV24" s="133" t="str">
        <x:v>Polyline / LineString</x:v>
      </x:c>
      <x:c r="AW24" s="133"/>
      <x:c r="AX24" s="133" t="str">
        <x:v>Koordinat yok; spatial eşleme yapılamadı</x:v>
      </x:c>
      <x:c r="AY24" s="133" t="str">
        <x:v>Polygon</x:v>
      </x:c>
      <x:c r="AZ24" s="133"/>
      <x:c r="BA24" s="133" t="str">
        <x:v>Santral popup: Su alanını göster</x:v>
      </x:c>
      <x:c r="BB24" s="133" t="str">
        <x:v>Yok</x:v>
      </x:c>
      <x:c r="BC24" s="133" t="str">
        <x:v>TATUS baraj point doğrudan eşleşmesi bu çalışma kitabında çözülmedi; sorgu URL'si eklendi; Koordinat eksik olduğu için akarsu ve su toplama alanı spatial sorgusu üretilemedi</x:v>
      </x:c>
    </x:row>
    <x:row r="25" ht="30" customHeight="1">
      <x:c r="A25" s="100" t="n">
        <x:v>22</x:v>
      </x:c>
      <x:c r="B25" s="32" t="str">
        <x:v>ASLANTAŞ HES</x:v>
      </x:c>
      <x:c r="C25" s="32" t="str">
        <x:v>Ceyhan</x:v>
      </x:c>
      <x:c r="D25" s="32" t="str">
        <x:v>Ceyhan</x:v>
      </x:c>
      <x:c r="E25" s="34" t="n">
        <x:v>20</x:v>
      </x:c>
      <x:c r="F25" s="32" t="str">
        <x:v>https://cbs1.tarimorman.gov.tr/server/rest/services/TATUS/FeatureServer/11/query?where=ID%3D20&amp;outFields=ID%2CHAVZA_ADI%2CALAN_KM2&amp;returnGeometry=true&amp;outSR=4326&amp;f=geojson</x:v>
      </x:c>
      <x:c r="G25" s="32" t="str">
        <x:v>ASLANTAŞ</x:v>
      </x:c>
      <x:c r="H25" s="32" t="str">
        <x:v>ADANA</x:v>
      </x:c>
      <x:c r="I25" s="36" t="n">
        <x:v>37.2729</x:v>
      </x:c>
      <x:c r="J25" s="36" t="n">
        <x:v>36.27156</x:v>
      </x:c>
      <x:c r="K25" s="38" t="n">
        <x:v>155</x:v>
      </x:c>
      <x:c r="L25" s="38" t="n">
        <x:v>130</x:v>
      </x:c>
      <x:c r="M25" s="32"/>
      <x:c r="N25" s="38" t="n">
        <x:v>138</x:v>
      </x:c>
      <x:c r="O25" s="38" t="n">
        <x:v>270</x:v>
      </x:c>
      <x:c r="P25" s="38" t="n">
        <x:v>1515.48</x:v>
      </x:c>
      <x:c r="Q25" s="38" t="n">
        <x:v>418.08</x:v>
      </x:c>
      <x:c r="R25" s="38" t="n">
        <x:v>669.47</x:v>
      </x:c>
      <x:c r="S25" s="38" t="n">
        <x:v>109.53</x:v>
      </x:c>
      <x:c r="T25" s="40" t="n">
        <x:v>46278.81434027778</x:v>
      </x:c>
      <x:c r="U25" s="32" t="str">
        <x:v>exact</x:v>
      </x:c>
      <x:c r="V25" s="32" t="str">
        <x:v>A</x:v>
      </x:c>
      <x:c r="W25" s="32" t="str">
        <x:v>Yüklü Debi_ve_Kurulu_Guc-13092026.xlsx</x:v>
      </x:c>
      <x:c r="X25" s="32" t="str">
        <x:v>Yüklü Debi_ve_Kurulu_Guc-13092026.xlsx</x:v>
      </x:c>
      <x:c r="Y25" s="32" t="str">
        <x:v>https://cbs1.tarimorman.gov.tr/server/rest/services/TATUS/FeatureServer/7</x:v>
      </x:c>
      <x:c r="Z25" s="32" t="str">
        <x:v>10</x:v>
      </x:c>
      <x:c r="AA25" s="101" t="str">
        <x:v>Kaskat alanında kaynak değeri '10' (belirsiz/sentinel)</x:v>
      </x:c>
      <x:c r="AB25" s="133" t="str">
        <x:v>Doğrulanmış koordinat mevcut</x:v>
      </x:c>
      <x:c r="AC25" s="133" t="str">
        <x:v>HES / baraj noktası</x:v>
      </x:c>
      <x:c r="AD25" s="133" t="n">
        <x:v>68</x:v>
      </x:c>
      <x:c r="AE25" s="133" t="str">
        <x:v>ASLANTAŞ HES</x:v>
      </x:c>
      <x:c r="AF25" s="133" t="str">
        <x:v>Osmaniye</x:v>
      </x:c>
      <x:c r="AG25" s="134" t="n">
        <x:v>37.271</x:v>
      </x:c>
      <x:c r="AH25" s="134" t="n">
        <x:v>36.274</x:v>
      </x:c>
      <x:c r="AI25" s="133" t="str">
        <x:v>Tam ad eşleşmesi</x:v>
      </x:c>
      <x:c r="AJ25" s="133" t="str">
        <x:v>Yüksek</x:v>
      </x:c>
      <x:c r="AK25" s="135" t="n">
        <x:v>0.302</x:v>
      </x:c>
      <x:c r="AL25" s="133" t="str">
        <x:v>Point</x:v>
      </x:c>
      <x:c r="AM25" s="133" t="str">
        <x:v>{"type": "Point", "coordinates": [36.27156, 37.2729]}</x:v>
      </x:c>
      <x:c r="AN25" s="133" t="str">
        <x:v>TATUS Baraj Gözlem Point</x:v>
      </x:c>
      <x:c r="AO25" s="133" t="str">
        <x:v>ASLANTAŞ</x:v>
      </x:c>
      <x:c r="AP25" s="133" t="n">
        <x:v>1</x:v>
      </x:c>
      <x:c r="AQ25" s="134" t="n">
        <x:v>37.2729</x:v>
      </x:c>
      <x:c r="AR25" s="134" t="n">
        <x:v>36.27156</x:v>
      </x:c>
      <x:c r="AS25" s="133" t="str">
        <x:v>{"type": "Point", "coordinates": [36.27156, 37.2729]}</x:v>
      </x:c>
      <x:c r="AT25" s="133" t="str">
        <x:v>https://cbs1.tarimorman.gov.tr/server/rest/services/TATUS/FeatureServer/7/query?where=HAVZA_ID%3D20+AND+%28BarajAdi%3D%27ASLANTA%C5%9E%27%29&amp;outFields=OBJECTID%2CBarajAdi%2CHavzaAdi%2CHAVZA_ID%2CIl&amp;returnGeometry=true&amp;outSR=4326&amp;f=geojson</x:v>
      </x:c>
      <x:c r="AU25" s="133" t="str">
        <x:v>Ceyhan</x:v>
      </x:c>
      <x:c r="AV25" s="133" t="str">
        <x:v>Polyline / LineString</x:v>
      </x:c>
      <x:c r="AW25" s="133" t="str">
        <x:v>https://cbs1.tarimorman.gov.tr/server/rest/services/TATUS/FeatureServer/8/query?where=HAVZA_ID%3D20&amp;geometry=36.271560%2C37.272900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5" s="133" t="str">
        <x:v>Havza ana akarsuyu ön-eşleme; TATUS spatial query ile doğrulanmalı</x:v>
      </x:c>
      <x:c r="AY25" s="133" t="str">
        <x:v>Polygon</x:v>
      </x:c>
      <x:c r="AZ25" s="133" t="str">
        <x:v>https://cbs1.tarimorman.gov.tr/server/rest/services/TATUS/FeatureServer/9/query?where=1%3D1&amp;geometry=36.271560%2C37.272900&amp;geometryType=esriGeometryPoint&amp;inSR=4326&amp;spatialRel=esriSpatialRelIntersects&amp;outFields=%2A&amp;returnGeometry=true&amp;outSR=4326&amp;resultRecordCount=5&amp;f=geojson</x:v>
      </x:c>
      <x:c r="BA25" s="133" t="str">
        <x:v>Santral popup: Su alanını göster</x:v>
      </x:c>
      <x:c r="BB25" s="133" t="str">
        <x:v>Yüksek</x:v>
      </x:c>
      <x:c r="BC25" s="133"/>
    </x:row>
    <x:row r="26" ht="30" customHeight="1">
      <x:c r="A26" s="100" t="n">
        <x:v>23</x:v>
      </x:c>
      <x:c r="B26" s="32" t="str">
        <x:v>AŞAĞI KALEKÖY HES</x:v>
      </x:c>
      <x:c r="C26" s="32" t="str">
        <x:v>Fırat Dicle</x:v>
      </x:c>
      <x:c r="D26" s="32" t="str">
        <x:v>Fırat-Dicle</x:v>
      </x:c>
      <x:c r="E26" s="34" t="n">
        <x:v>21</x:v>
      </x:c>
      <x:c r="F26" s="32" t="str">
        <x:v>https://cbs1.tarimorman.gov.tr/server/rest/services/TATUS/FeatureServer/11/query?where=ID%3D21&amp;outFields=ID%2CHAVZA_ADI%2CALAN_KM2&amp;returnGeometry=true&amp;outSR=4326&amp;f=geojson</x:v>
      </x:c>
      <x:c r="G26" s="32" t="str">
        <x:v>AŞAĞI KALEKÖY</x:v>
      </x:c>
      <x:c r="H26" s="32" t="str">
        <x:v>BİNGÖL</x:v>
      </x:c>
      <x:c r="I26" s="36" t="n">
        <x:v>38.836</x:v>
      </x:c>
      <x:c r="J26" s="36" t="n">
        <x:v>40.72</x:v>
      </x:c>
      <x:c r="K26" s="38" t="n">
        <x:v>1102.5</x:v>
      </x:c>
      <x:c r="L26" s="38" t="n">
        <x:v>1085</x:v>
      </x:c>
      <x:c r="M26" s="32" t="str">
        <x:v>BEYHAN1 HES</x:v>
      </x:c>
      <x:c r="N26" s="38" t="n">
        <x:v>500</x:v>
      </x:c>
      <x:c r="O26" s="38"/>
      <x:c r="P26" s="38"/>
      <x:c r="Q26" s="38"/>
      <x:c r="R26" s="38"/>
      <x:c r="S26" s="38"/>
      <x:c r="T26" s="40"/>
      <x:c r="U26" s="32" t="str">
        <x:v>eşleşme yok</x:v>
      </x:c>
      <x:c r="V26" s="32" t="str">
        <x:v>C</x:v>
      </x:c>
      <x:c r="W26" s="32" t="str">
        <x:v>https://openinframap.org/stats/area/Turkey/plants?source=hydro</x:v>
      </x:c>
      <x:c r="X26" s="32" t="str">
        <x:v>https://openinframap.org/stats/area/Turkey/plants?source=hydro</x:v>
      </x:c>
      <x:c r="Y26" s="32" t="str">
        <x:v>hes_MERKEZI_LISTESI.xlsx — trafo merkezi koordinatı (yaklaşık)</x:v>
      </x:c>
      <x:c r="Z26" s="32" t="str">
        <x:v>BEYHAN1 HES</x:v>
      </x:c>
      <x:c r="AA26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26" s="133" t="str">
        <x:v>Trafo merkezi koordinatı ile tamamlandı</x:v>
      </x:c>
      <x:c r="AC26" s="133" t="str">
        <x:v>Trafo merkezi / elektrik bağlantı noktası (yaklaşık)</x:v>
      </x:c>
      <x:c r="AD26" s="133" t="n">
        <x:v>1528</x:v>
      </x:c>
      <x:c r="AE26" s="133" t="str">
        <x:v>AŞAĞI KALEKÖY HES</x:v>
      </x:c>
      <x:c r="AF26" s="133" t="str">
        <x:v>Bingöl</x:v>
      </x:c>
      <x:c r="AG26" s="134" t="n">
        <x:v>38.836</x:v>
      </x:c>
      <x:c r="AH26" s="134" t="n">
        <x:v>40.72</x:v>
      </x:c>
      <x:c r="AI26" s="133" t="str">
        <x:v>Tam ad eşleşmesi</x:v>
      </x:c>
      <x:c r="AJ26" s="133" t="str">
        <x:v>Yüksek</x:v>
      </x:c>
      <x:c r="AK26" s="135"/>
      <x:c r="AL26" s="133" t="str">
        <x:v>Point</x:v>
      </x:c>
      <x:c r="AM26" s="133" t="str">
        <x:v>{"type": "Point", "coordinates": [40.72, 38.836]}</x:v>
      </x:c>
      <x:c r="AN26" s="133" t="str">
        <x:v>Trafo merkezi / elektrik bağlantı noktası (yaklaşık)</x:v>
      </x:c>
      <x:c r="AO26" s="133"/>
      <x:c r="AP26" s="133"/>
      <x:c r="AQ26" s="134"/>
      <x:c r="AR26" s="134"/>
      <x:c r="AS26" s="133"/>
      <x:c r="AT26" s="133" t="str">
        <x:v>https://cbs1.tarimorman.gov.tr/server/rest/services/TATUS/FeatureServer/7/query?where=HAVZA_ID%3D21+AND+%28BarajAdi%3D%27A%C5%9EA%C4%9EI+KALEK%C3%96Y%27%29&amp;outFields=OBJECTID%2CBarajAdi%2CHavzaAdi%2CHAVZA_ID%2CIl&amp;returnGeometry=true&amp;outSR=4326&amp;f=geojson</x:v>
      </x:c>
      <x:c r="AU26" s="133"/>
      <x:c r="AV26" s="133" t="str">
        <x:v>Polyline / LineString</x:v>
      </x:c>
      <x:c r="AW26" s="133" t="str">
        <x:v>https://cbs1.tarimorman.gov.tr/server/rest/services/TATUS/FeatureServer/8/query?where=HAVZA_ID%3D21&amp;geometry=40.720000%2C38.836000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6" s="133" t="str">
        <x:v>TATUS spatial query hazır; en yakın/uygun LineString seçilmeli</x:v>
      </x:c>
      <x:c r="AY26" s="133" t="str">
        <x:v>Polygon</x:v>
      </x:c>
      <x:c r="AZ26" s="133" t="str">
        <x:v>https://cbs1.tarimorman.gov.tr/server/rest/services/TATUS/FeatureServer/9/query?where=1%3D1&amp;geometry=40.720000%2C38.836000&amp;geometryType=esriGeometryPoint&amp;inSR=4326&amp;spatialRel=esriSpatialRelIntersects&amp;outFields=%2A&amp;returnGeometry=true&amp;outSR=4326&amp;resultRecordCount=5&amp;f=geojson</x:v>
      </x:c>
      <x:c r="BA26" s="133" t="str">
        <x:v>Santral popup: Su alanını göster</x:v>
      </x:c>
      <x:c r="BB26" s="133" t="str">
        <x:v>Orta-Düşük</x:v>
      </x:c>
      <x:c r="BC26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27" ht="30" customHeight="1">
      <x:c r="A27" s="100" t="n">
        <x:v>24</x:v>
      </x:c>
      <x:c r="B27" s="32" t="str">
        <x:v>ATAKÖY HES</x:v>
      </x:c>
      <x:c r="C27" s="32" t="str">
        <x:v>Yeşilırmak</x:v>
      </x:c>
      <x:c r="D27" s="32" t="str">
        <x:v>Yeşilırmak</x:v>
      </x:c>
      <x:c r="E27" s="34" t="n">
        <x:v>14</x:v>
      </x:c>
      <x:c r="F27" s="32" t="str">
        <x:v>https://cbs1.tarimorman.gov.tr/server/rest/services/TATUS/FeatureServer/11/query?where=ID%3D14&amp;outFields=ID%2CHAVZA_ADI%2CALAN_KM2&amp;returnGeometry=true&amp;outSR=4326&amp;f=geojson</x:v>
      </x:c>
      <x:c r="G27" s="32" t="str">
        <x:v>ATAKÖY</x:v>
      </x:c>
      <x:c r="H27" s="32" t="str">
        <x:v>TOKAT</x:v>
      </x:c>
      <x:c r="I27" s="36" t="n">
        <x:v>40.42512</x:v>
      </x:c>
      <x:c r="J27" s="36" t="n">
        <x:v>36.88133</x:v>
      </x:c>
      <x:c r="K27" s="38" t="n">
        <x:v>733.5</x:v>
      </x:c>
      <x:c r="L27" s="38" t="n">
        <x:v>729.75</x:v>
      </x:c>
      <x:c r="M27" s="32"/>
      <x:c r="N27" s="38" t="n">
        <x:v>5.5</x:v>
      </x:c>
      <x:c r="O27" s="38" t="n">
        <x:v>27.1</x:v>
      </x:c>
      <x:c r="P27" s="38" t="n">
        <x:v>1.93</x:v>
      </x:c>
      <x:c r="Q27" s="38" t="n">
        <x:v>0.82</x:v>
      </x:c>
      <x:c r="R27" s="38" t="n">
        <x:v>1.06</x:v>
      </x:c>
      <x:c r="S27" s="38" t="n">
        <x:v>0.04</x:v>
      </x:c>
      <x:c r="T27" s="40" t="n">
        <x:v>46278.81434027778</x:v>
      </x:c>
      <x:c r="U27" s="32" t="str">
        <x:v>exact</x:v>
      </x:c>
      <x:c r="V27" s="32" t="str">
        <x:v>A</x:v>
      </x:c>
      <x:c r="W27" s="32" t="str">
        <x:v>Yüklü Debi_ve_Kurulu_Guc-13092026.xlsx</x:v>
      </x:c>
      <x:c r="X27" s="32" t="str">
        <x:v>Yüklü Debi_ve_Kurulu_Guc-13092026.xlsx</x:v>
      </x:c>
      <x:c r="Y27" s="32" t="str">
        <x:v>https://cbs1.tarimorman.gov.tr/server/rest/services/TATUS/FeatureServer/7</x:v>
      </x:c>
      <x:c r="Z27" s="32" t="str">
        <x:v>10</x:v>
      </x:c>
      <x:c r="AA27" s="101" t="str">
        <x:v>Kaskat alanında kaynak değeri '10' (belirsiz/sentinel)</x:v>
      </x:c>
      <x:c r="AB27" s="133" t="str">
        <x:v>Doğrulanmış koordinat mevcut</x:v>
      </x:c>
      <x:c r="AC27" s="133" t="str">
        <x:v>HES / baraj noktası</x:v>
      </x:c>
      <x:c r="AD27" s="133"/>
      <x:c r="AE27" s="133"/>
      <x:c r="AF27" s="133"/>
      <x:c r="AG27" s="134"/>
      <x:c r="AH27" s="134"/>
      <x:c r="AI27" s="133"/>
      <x:c r="AJ27" s="133"/>
      <x:c r="AK27" s="135"/>
      <x:c r="AL27" s="133" t="str">
        <x:v>Point</x:v>
      </x:c>
      <x:c r="AM27" s="133" t="str">
        <x:v>{"type": "Point", "coordinates": [36.88133, 40.42512]}</x:v>
      </x:c>
      <x:c r="AN27" s="133" t="str">
        <x:v>TATUS Baraj Gözlem Point</x:v>
      </x:c>
      <x:c r="AO27" s="133" t="str">
        <x:v>ATAKÖY</x:v>
      </x:c>
      <x:c r="AP27" s="133" t="n">
        <x:v>1</x:v>
      </x:c>
      <x:c r="AQ27" s="134" t="n">
        <x:v>40.42512</x:v>
      </x:c>
      <x:c r="AR27" s="134" t="n">
        <x:v>36.88133</x:v>
      </x:c>
      <x:c r="AS27" s="133" t="str">
        <x:v>{"type": "Point", "coordinates": [36.88133, 40.42512]}</x:v>
      </x:c>
      <x:c r="AT27" s="133" t="str">
        <x:v>https://cbs1.tarimorman.gov.tr/server/rest/services/TATUS/FeatureServer/7/query?where=HAVZA_ID%3D14+AND+%28BarajAdi%3D%27ATAK%C3%96Y%27%29&amp;outFields=OBJECTID%2CBarajAdi%2CHavzaAdi%2CHAVZA_ID%2CIl&amp;returnGeometry=true&amp;outSR=4326&amp;f=geojson</x:v>
      </x:c>
      <x:c r="AU27" s="133" t="str">
        <x:v>Yeşilırmak</x:v>
      </x:c>
      <x:c r="AV27" s="133" t="str">
        <x:v>Polyline / LineString</x:v>
      </x:c>
      <x:c r="AW27" s="133" t="str">
        <x:v>https://cbs1.tarimorman.gov.tr/server/rest/services/TATUS/FeatureServer/8/query?where=HAVZA_ID%3D14&amp;geometry=36.881330%2C40.425120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7" s="133" t="str">
        <x:v>Havza ana akarsuyu ön-eşleme; TATUS spatial query ile doğrulanmalı</x:v>
      </x:c>
      <x:c r="AY27" s="133" t="str">
        <x:v>Polygon</x:v>
      </x:c>
      <x:c r="AZ27" s="133" t="str">
        <x:v>https://cbs1.tarimorman.gov.tr/server/rest/services/TATUS/FeatureServer/9/query?where=1%3D1&amp;geometry=36.881330%2C40.425120&amp;geometryType=esriGeometryPoint&amp;inSR=4326&amp;spatialRel=esriSpatialRelIntersects&amp;outFields=%2A&amp;returnGeometry=true&amp;outSR=4326&amp;resultRecordCount=5&amp;f=geojson</x:v>
      </x:c>
      <x:c r="BA27" s="133" t="str">
        <x:v>Santral popup: Su alanını göster</x:v>
      </x:c>
      <x:c r="BB27" s="133" t="str">
        <x:v>Yüksek</x:v>
      </x:c>
      <x:c r="BC27" s="133"/>
    </x:row>
    <x:row r="28" ht="30" customHeight="1">
      <x:c r="A28" s="100" t="n">
        <x:v>25</x:v>
      </x:c>
      <x:c r="B28" s="32" t="str">
        <x:v>ATATÜRK HES</x:v>
      </x:c>
      <x:c r="C28" s="32" t="str">
        <x:v>Fırat Dicle</x:v>
      </x:c>
      <x:c r="D28" s="32" t="str">
        <x:v>Fırat-Dicle</x:v>
      </x:c>
      <x:c r="E28" s="34" t="n">
        <x:v>21</x:v>
      </x:c>
      <x:c r="F28" s="32" t="str">
        <x:v>https://cbs1.tarimorman.gov.tr/server/rest/services/TATUS/FeatureServer/11/query?where=ID%3D21&amp;outFields=ID%2CHAVZA_ADI%2CALAN_KM2&amp;returnGeometry=true&amp;outSR=4326&amp;f=geojson</x:v>
      </x:c>
      <x:c r="G28" s="32" t="str">
        <x:v>ATATÜRK</x:v>
      </x:c>
      <x:c r="H28" s="32" t="str">
        <x:v>ŞANLIURFA</x:v>
      </x:c>
      <x:c r="I28" s="36" t="n">
        <x:v>37.481667</x:v>
      </x:c>
      <x:c r="J28" s="36" t="n">
        <x:v>38.3175</x:v>
      </x:c>
      <x:c r="K28" s="38" t="n">
        <x:v>542</x:v>
      </x:c>
      <x:c r="L28" s="38" t="n">
        <x:v>526</x:v>
      </x:c>
      <x:c r="M28" s="32" t="str">
        <x:v>BİRECİK-NİZİP HES</x:v>
      </x:c>
      <x:c r="N28" s="38" t="n">
        <x:v>2405</x:v>
      </x:c>
      <x:c r="O28" s="38"/>
      <x:c r="P28" s="38"/>
      <x:c r="Q28" s="38"/>
      <x:c r="R28" s="38"/>
      <x:c r="S28" s="38"/>
      <x:c r="T28" s="40"/>
      <x:c r="U28" s="32" t="str">
        <x:v>eşleşme yok</x:v>
      </x:c>
      <x:c r="V28" s="32" t="str">
        <x:v>B</x:v>
      </x:c>
      <x:c r="W28" s="32" t="str">
        <x:v>https://openinframap.org/stats/area/Turkey/plants?source=hydro</x:v>
      </x:c>
      <x:c r="X28" s="32" t="str">
        <x:v>https://openinframap.org/stats/area/Turkey/plants?source=hydro</x:v>
      </x:c>
      <x:c r="Y28" s="32" t="str">
        <x:v>https://www.wikidata.org/wiki/Q753776</x:v>
      </x:c>
      <x:c r="Z28" s="32" t="str">
        <x:v>BİRECİK-NİZİP HES</x:v>
      </x:c>
      <x:c r="AA28" s="101" t="str">
        <x:v>EPİAŞ su göstergesi eşleşmesi bulunamadı; Ünite debisi doğrulanamadı; Maksimum/minimum hacim doğrulanamadı</x:v>
      </x:c>
      <x:c r="AB28" s="133" t="str">
        <x:v>Doğrulanmış koordinat mevcut</x:v>
      </x:c>
      <x:c r="AC28" s="133" t="str">
        <x:v>HES / baraj noktası</x:v>
      </x:c>
      <x:c r="AD28" s="133" t="n">
        <x:v>359</x:v>
      </x:c>
      <x:c r="AE28" s="133" t="str">
        <x:v>ATATÜRK HES</x:v>
      </x:c>
      <x:c r="AF28" s="133" t="str">
        <x:v>Şanlıurfa</x:v>
      </x:c>
      <x:c r="AG28" s="134" t="n">
        <x:v>37.457</x:v>
      </x:c>
      <x:c r="AH28" s="134" t="n">
        <x:v>38.308</x:v>
      </x:c>
      <x:c r="AI28" s="133" t="str">
        <x:v>Tam ad eşleşmesi</x:v>
      </x:c>
      <x:c r="AJ28" s="133" t="str">
        <x:v>Yüksek</x:v>
      </x:c>
      <x:c r="AK28" s="135" t="n">
        <x:v>2.868</x:v>
      </x:c>
      <x:c r="AL28" s="133" t="str">
        <x:v>Point</x:v>
      </x:c>
      <x:c r="AM28" s="133" t="str">
        <x:v>{"type": "Point", "coordinates": [38.3175, 37.481667]}</x:v>
      </x:c>
      <x:c r="AN28" s="133" t="str">
        <x:v>HES / baraj noktası</x:v>
      </x:c>
      <x:c r="AO28" s="133"/>
      <x:c r="AP28" s="133"/>
      <x:c r="AQ28" s="134"/>
      <x:c r="AR28" s="134"/>
      <x:c r="AS28" s="133"/>
      <x:c r="AT28" s="133" t="str">
        <x:v>https://cbs1.tarimorman.gov.tr/server/rest/services/TATUS/FeatureServer/7/query?where=HAVZA_ID%3D21+AND+%28BarajAdi%3D%27ATAT%C3%9CRK%27%29&amp;outFields=OBJECTID%2CBarajAdi%2CHavzaAdi%2CHAVZA_ID%2CIl&amp;returnGeometry=true&amp;outSR=4326&amp;f=geojson</x:v>
      </x:c>
      <x:c r="AU28" s="133"/>
      <x:c r="AV28" s="133" t="str">
        <x:v>Polyline / LineString</x:v>
      </x:c>
      <x:c r="AW28" s="133" t="str">
        <x:v>https://cbs1.tarimorman.gov.tr/server/rest/services/TATUS/FeatureServer/8/query?where=HAVZA_ID%3D21&amp;geometry=38.317500%2C37.481667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8" s="133" t="str">
        <x:v>TATUS spatial query hazır; en yakın/uygun LineString seçilmeli</x:v>
      </x:c>
      <x:c r="AY28" s="133" t="str">
        <x:v>Polygon</x:v>
      </x:c>
      <x:c r="AZ28" s="133" t="str">
        <x:v>https://cbs1.tarimorman.gov.tr/server/rest/services/TATUS/FeatureServer/9/query?where=1%3D1&amp;geometry=38.317500%2C37.481667&amp;geometryType=esriGeometryPoint&amp;inSR=4326&amp;spatialRel=esriSpatialRelIntersects&amp;outFields=%2A&amp;returnGeometry=true&amp;outSR=4326&amp;resultRecordCount=5&amp;f=geojson</x:v>
      </x:c>
      <x:c r="BA28" s="133" t="str">
        <x:v>Santral popup: Su alanını göster</x:v>
      </x:c>
      <x:c r="BB28" s="133" t="str">
        <x:v>Yüksek</x:v>
      </x:c>
      <x:c r="BC28" s="133" t="str">
        <x:v>TATUS baraj point doğrudan eşleşmesi bu çalışma kitabında çözülmedi; sorgu URL'si eklendi; Fırat-Dicle havzasında nehir adı havzadan türetilmedi; yanlış Fırat/Dicle eşleşmesini önlemek için spatial doğrulama gerekli</x:v>
      </x:c>
    </x:row>
    <x:row r="29" ht="30" customHeight="1">
      <x:c r="A29" s="100" t="n">
        <x:v>26</x:v>
      </x:c>
      <x:c r="B29" s="32" t="str">
        <x:v>AYVALI HES</x:v>
      </x:c>
      <x:c r="C29" s="32" t="str">
        <x:v>Çoruh</x:v>
      </x:c>
      <x:c r="D29" s="32" t="str">
        <x:v>Çoruh</x:v>
      </x:c>
      <x:c r="E29" s="34" t="n">
        <x:v>23</x:v>
      </x:c>
      <x:c r="F29" s="32" t="str">
        <x:v>https://cbs1.tarimorman.gov.tr/server/rest/services/TATUS/FeatureServer/11/query?where=ID%3D23&amp;outFields=ID%2CHAVZA_ADI%2CALAN_KM2&amp;returnGeometry=true&amp;outSR=4326&amp;f=geojson</x:v>
      </x:c>
      <x:c r="G29" s="32" t="str">
        <x:v>AYVALI</x:v>
      </x:c>
      <x:c r="H29" s="32" t="str">
        <x:v>ERZURUM</x:v>
      </x:c>
      <x:c r="I29" s="36" t="n">
        <x:v>40.754</x:v>
      </x:c>
      <x:c r="J29" s="36" t="n">
        <x:v>41.835</x:v>
      </x:c>
      <x:c r="K29" s="38" t="n">
        <x:v>930</x:v>
      </x:c>
      <x:c r="L29" s="38" t="n">
        <x:v>908</x:v>
      </x:c>
      <x:c r="M29" s="32" t="str">
        <x:v>YUSUFELİ HES</x:v>
      </x:c>
      <x:c r="N29" s="38" t="n">
        <x:v>122</x:v>
      </x:c>
      <x:c r="O29" s="38"/>
      <x:c r="P29" s="38"/>
      <x:c r="Q29" s="38"/>
      <x:c r="R29" s="38"/>
      <x:c r="S29" s="38"/>
      <x:c r="T29" s="40"/>
      <x:c r="U29" s="32" t="str">
        <x:v>eşleşme yok</x:v>
      </x:c>
      <x:c r="V29" s="32" t="str">
        <x:v>C</x:v>
      </x:c>
      <x:c r="W29" s="32" t="str">
        <x:v>https://www.enerjiatlasi.com/hidroelektrik/?v=1.0.24</x:v>
      </x:c>
      <x:c r="X29" s="32" t="str">
        <x:v>https://openinframap.org/stats/area/Turkey/plants?source=hydro</x:v>
      </x:c>
      <x:c r="Y29" s="32" t="str">
        <x:v>hes_MERKEZI_LISTESI.xlsx — trafo merkezi koordinatı (yaklaşık)</x:v>
      </x:c>
      <x:c r="Z29" s="32" t="str">
        <x:v>YUSUFELİ HES</x:v>
      </x:c>
      <x:c r="AA29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29" s="133" t="str">
        <x:v>Trafo merkezi koordinatı ile tamamlandı</x:v>
      </x:c>
      <x:c r="AC29" s="133" t="str">
        <x:v>Trafo merkezi / elektrik bağlantı noktası (yaklaşık)</x:v>
      </x:c>
      <x:c r="AD29" s="133" t="n">
        <x:v>1280</x:v>
      </x:c>
      <x:c r="AE29" s="133" t="str">
        <x:v>AYVALI HES</x:v>
      </x:c>
      <x:c r="AF29" s="133" t="str">
        <x:v>Erzurum</x:v>
      </x:c>
      <x:c r="AG29" s="134" t="n">
        <x:v>40.754</x:v>
      </x:c>
      <x:c r="AH29" s="134" t="n">
        <x:v>41.835</x:v>
      </x:c>
      <x:c r="AI29" s="133" t="str">
        <x:v>Tam ad eşleşmesi</x:v>
      </x:c>
      <x:c r="AJ29" s="133" t="str">
        <x:v>Yüksek</x:v>
      </x:c>
      <x:c r="AK29" s="135"/>
      <x:c r="AL29" s="133" t="str">
        <x:v>Point</x:v>
      </x:c>
      <x:c r="AM29" s="133" t="str">
        <x:v>{"type": "Point", "coordinates": [41.835, 40.754]}</x:v>
      </x:c>
      <x:c r="AN29" s="133" t="str">
        <x:v>Trafo merkezi / elektrik bağlantı noktası (yaklaşık)</x:v>
      </x:c>
      <x:c r="AO29" s="133"/>
      <x:c r="AP29" s="133"/>
      <x:c r="AQ29" s="134"/>
      <x:c r="AR29" s="134"/>
      <x:c r="AS29" s="133"/>
      <x:c r="AT29" s="133" t="str">
        <x:v>https://cbs1.tarimorman.gov.tr/server/rest/services/TATUS/FeatureServer/7/query?where=HAVZA_ID%3D23+AND+%28BarajAdi%3D%27AYVALI%27%29&amp;outFields=OBJECTID%2CBarajAdi%2CHavzaAdi%2CHAVZA_ID%2CIl&amp;returnGeometry=true&amp;outSR=4326&amp;f=geojson</x:v>
      </x:c>
      <x:c r="AU29" s="133" t="str">
        <x:v>Çoruh</x:v>
      </x:c>
      <x:c r="AV29" s="133" t="str">
        <x:v>Polyline / LineString</x:v>
      </x:c>
      <x:c r="AW29" s="133" t="str">
        <x:v>https://cbs1.tarimorman.gov.tr/server/rest/services/TATUS/FeatureServer/8/query?where=HAVZA_ID%3D23&amp;geometry=41.835000%2C40.754000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29" s="133" t="str">
        <x:v>Havza ana akarsuyu ön-eşleme; TATUS spatial query ile doğrulanmalı</x:v>
      </x:c>
      <x:c r="AY29" s="133" t="str">
        <x:v>Polygon</x:v>
      </x:c>
      <x:c r="AZ29" s="133" t="str">
        <x:v>https://cbs1.tarimorman.gov.tr/server/rest/services/TATUS/FeatureServer/9/query?where=1%3D1&amp;geometry=41.835000%2C40.754000&amp;geometryType=esriGeometryPoint&amp;inSR=4326&amp;spatialRel=esriSpatialRelIntersects&amp;outFields=%2A&amp;returnGeometry=true&amp;outSR=4326&amp;resultRecordCount=5&amp;f=geojson</x:v>
      </x:c>
      <x:c r="BA29" s="133" t="str">
        <x:v>Santral popup: Su alanını göster</x:v>
      </x:c>
      <x:c r="BB29" s="133" t="str">
        <x:v>Orta-Düşük</x:v>
      </x:c>
      <x:c r="BC29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30" ht="30" customHeight="1">
      <x:c r="A30" s="100" t="n">
        <x:v>27</x:v>
      </x:c>
      <x:c r="B30" s="32" t="str">
        <x:v>BAĞIŞTAŞ1 HES</x:v>
      </x:c>
      <x:c r="C30" s="32" t="str">
        <x:v>Fırat Dicle</x:v>
      </x:c>
      <x:c r="D30" s="32" t="str">
        <x:v>Fırat-Dicle</x:v>
      </x:c>
      <x:c r="E30" s="34" t="n">
        <x:v>21</x:v>
      </x:c>
      <x:c r="F30" s="32" t="str">
        <x:v>https://cbs1.tarimorman.gov.tr/server/rest/services/TATUS/FeatureServer/11/query?where=ID%3D21&amp;outFields=ID%2CHAVZA_ADI%2CALAN_KM2&amp;returnGeometry=true&amp;outSR=4326&amp;f=geojson</x:v>
      </x:c>
      <x:c r="G30" s="32" t="str">
        <x:v>BAĞIŞTAŞ1</x:v>
      </x:c>
      <x:c r="H30" s="32" t="str">
        <x:v>ERZİNCAN</x:v>
      </x:c>
      <x:c r="I30" s="36" t="n">
        <x:v>39.448</x:v>
      </x:c>
      <x:c r="J30" s="36" t="n">
        <x:v>38.52</x:v>
      </x:c>
      <x:c r="K30" s="38" t="n">
        <x:v>915</x:v>
      </x:c>
      <x:c r="L30" s="38" t="n">
        <x:v>912.5</x:v>
      </x:c>
      <x:c r="M30" s="32" t="str">
        <x:v>BAĞIŞTAŞ2 HES</x:v>
      </x:c>
      <x:c r="N30" s="38" t="n">
        <x:v>141</x:v>
      </x:c>
      <x:c r="O30" s="38"/>
      <x:c r="P30" s="38"/>
      <x:c r="Q30" s="38"/>
      <x:c r="R30" s="38"/>
      <x:c r="S30" s="38"/>
      <x:c r="T30" s="40"/>
      <x:c r="U30" s="32" t="str">
        <x:v>eşleşme yok</x:v>
      </x:c>
      <x:c r="V30" s="32" t="str">
        <x:v>C</x:v>
      </x:c>
      <x:c r="W30" s="32" t="str">
        <x:v>https://www.enerjiatlasi.com/hidroelektrik/?v=1.0.24</x:v>
      </x:c>
      <x:c r="X30" s="32" t="str">
        <x:v>https://openinframap.org/stats/area/Turkey/plants?source=hydro</x:v>
      </x:c>
      <x:c r="Y30" s="32" t="str">
        <x:v>hes_MERKEZI_LISTESI.xlsx — trafo merkezi koordinatı (yaklaşık)</x:v>
      </x:c>
      <x:c r="Z30" s="32" t="str">
        <x:v>BAĞIŞTAŞ2 HES</x:v>
      </x:c>
      <x:c r="AA30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30" s="133" t="str">
        <x:v>Trafo merkezi koordinatı ile tamamlandı</x:v>
      </x:c>
      <x:c r="AC30" s="133" t="str">
        <x:v>Trafo merkezi / elektrik bağlantı noktası (yaklaşık)</x:v>
      </x:c>
      <x:c r="AD30" s="133" t="n">
        <x:v>1439</x:v>
      </x:c>
      <x:c r="AE30" s="133" t="str">
        <x:v>BAĞIŞTAŞ1 HES</x:v>
      </x:c>
      <x:c r="AF30" s="133" t="str">
        <x:v>Erzincan</x:v>
      </x:c>
      <x:c r="AG30" s="134" t="n">
        <x:v>39.448</x:v>
      </x:c>
      <x:c r="AH30" s="134" t="n">
        <x:v>38.52</x:v>
      </x:c>
      <x:c r="AI30" s="133" t="str">
        <x:v>Tam ad eşleşmesi</x:v>
      </x:c>
      <x:c r="AJ30" s="133" t="str">
        <x:v>Yüksek</x:v>
      </x:c>
      <x:c r="AK30" s="135"/>
      <x:c r="AL30" s="133" t="str">
        <x:v>Point</x:v>
      </x:c>
      <x:c r="AM30" s="133" t="str">
        <x:v>{"type": "Point", "coordinates": [38.52, 39.448]}</x:v>
      </x:c>
      <x:c r="AN30" s="133" t="str">
        <x:v>Trafo merkezi / elektrik bağlantı noktası (yaklaşık)</x:v>
      </x:c>
      <x:c r="AO30" s="133"/>
      <x:c r="AP30" s="133"/>
      <x:c r="AQ30" s="134"/>
      <x:c r="AR30" s="134"/>
      <x:c r="AS30" s="133"/>
      <x:c r="AT30" s="133" t="str">
        <x:v>https://cbs1.tarimorman.gov.tr/server/rest/services/TATUS/FeatureServer/7/query?where=HAVZA_ID%3D21+AND+%28BarajAdi%3D%27BA%C4%9EI%C5%9ETA%C5%9E1%27%29&amp;outFields=OBJECTID%2CBarajAdi%2CHavzaAdi%2CHAVZA_ID%2CIl&amp;returnGeometry=true&amp;outSR=4326&amp;f=geojson</x:v>
      </x:c>
      <x:c r="AU30" s="133"/>
      <x:c r="AV30" s="133" t="str">
        <x:v>Polyline / LineString</x:v>
      </x:c>
      <x:c r="AW30" s="133" t="str">
        <x:v>https://cbs1.tarimorman.gov.tr/server/rest/services/TATUS/FeatureServer/8/query?where=HAVZA_ID%3D21&amp;geometry=38.520000%2C39.448000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0" s="133" t="str">
        <x:v>TATUS spatial query hazır; en yakın/uygun LineString seçilmeli</x:v>
      </x:c>
      <x:c r="AY30" s="133" t="str">
        <x:v>Polygon</x:v>
      </x:c>
      <x:c r="AZ30" s="133" t="str">
        <x:v>https://cbs1.tarimorman.gov.tr/server/rest/services/TATUS/FeatureServer/9/query?where=1%3D1&amp;geometry=38.520000%2C39.448000&amp;geometryType=esriGeometryPoint&amp;inSR=4326&amp;spatialRel=esriSpatialRelIntersects&amp;outFields=%2A&amp;returnGeometry=true&amp;outSR=4326&amp;resultRecordCount=5&amp;f=geojson</x:v>
      </x:c>
      <x:c r="BA30" s="133" t="str">
        <x:v>Santral popup: Su alanını göster</x:v>
      </x:c>
      <x:c r="BB30" s="133" t="str">
        <x:v>Orta-Düşük</x:v>
      </x:c>
      <x:c r="BC30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31" ht="30" customHeight="1">
      <x:c r="A31" s="100" t="n">
        <x:v>28</x:v>
      </x:c>
      <x:c r="B31" s="32" t="str">
        <x:v>BAĞIŞTAŞ2 HES</x:v>
      </x:c>
      <x:c r="C31" s="32" t="str">
        <x:v>Fırat Dicle</x:v>
      </x:c>
      <x:c r="D31" s="32" t="str">
        <x:v>Fırat-Dicle</x:v>
      </x:c>
      <x:c r="E31" s="34" t="n">
        <x:v>21</x:v>
      </x:c>
      <x:c r="F31" s="32" t="str">
        <x:v>https://cbs1.tarimorman.gov.tr/server/rest/services/TATUS/FeatureServer/11/query?where=ID%3D21&amp;outFields=ID%2CHAVZA_ADI%2CALAN_KM2&amp;returnGeometry=true&amp;outSR=4326&amp;f=geojson</x:v>
      </x:c>
      <x:c r="G31" s="32" t="str">
        <x:v>BAĞIŞTAŞ2</x:v>
      </x:c>
      <x:c r="H31" s="32" t="str">
        <x:v>ERZİNCAN</x:v>
      </x:c>
      <x:c r="I31" s="36" t="n">
        <x:v>39.428</x:v>
      </x:c>
      <x:c r="J31" s="36" t="n">
        <x:v>38.41</x:v>
      </x:c>
      <x:c r="K31" s="38" t="n">
        <x:v>865</x:v>
      </x:c>
      <x:c r="L31" s="38" t="n">
        <x:v>861.5</x:v>
      </x:c>
      <x:c r="M31" s="32" t="str">
        <x:v>KEBAN HES</x:v>
      </x:c>
      <x:c r="N31" s="38" t="n">
        <x:v>48.6</x:v>
      </x:c>
      <x:c r="O31" s="38"/>
      <x:c r="P31" s="38"/>
      <x:c r="Q31" s="38"/>
      <x:c r="R31" s="38"/>
      <x:c r="S31" s="38"/>
      <x:c r="T31" s="40"/>
      <x:c r="U31" s="32" t="str">
        <x:v>eşleşme yok</x:v>
      </x:c>
      <x:c r="V31" s="32" t="str">
        <x:v>C</x:v>
      </x:c>
      <x:c r="W31" s="32" t="str">
        <x:v>https://www.enerjiatlasi.com/hidroelektrik/?v=1.0.24</x:v>
      </x:c>
      <x:c r="X31" s="32" t="str">
        <x:v>https://openinframap.org/stats/area/Turkey/plants?source=hydro</x:v>
      </x:c>
      <x:c r="Y31" s="32" t="str">
        <x:v>hes_MERKEZI_LISTESI.xlsx — trafo merkezi koordinatı (yaklaşık)</x:v>
      </x:c>
      <x:c r="Z31" s="32" t="str">
        <x:v>KEBAN HES</x:v>
      </x:c>
      <x:c r="AA31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31" s="133" t="str">
        <x:v>Trafo merkezi koordinatı ile tamamlandı</x:v>
      </x:c>
      <x:c r="AC31" s="133" t="str">
        <x:v>Trafo merkezi / elektrik bağlantı noktası (yaklaşık)</x:v>
      </x:c>
      <x:c r="AD31" s="133" t="n">
        <x:v>1440</x:v>
      </x:c>
      <x:c r="AE31" s="133" t="str">
        <x:v>BAĞIŞTAŞ2 HES</x:v>
      </x:c>
      <x:c r="AF31" s="133" t="str">
        <x:v>Erzincan</x:v>
      </x:c>
      <x:c r="AG31" s="134" t="n">
        <x:v>39.428</x:v>
      </x:c>
      <x:c r="AH31" s="134" t="n">
        <x:v>38.41</x:v>
      </x:c>
      <x:c r="AI31" s="133" t="str">
        <x:v>Tam ad eşleşmesi</x:v>
      </x:c>
      <x:c r="AJ31" s="133" t="str">
        <x:v>Yüksek</x:v>
      </x:c>
      <x:c r="AK31" s="135"/>
      <x:c r="AL31" s="133" t="str">
        <x:v>Point</x:v>
      </x:c>
      <x:c r="AM31" s="133" t="str">
        <x:v>{"type": "Point", "coordinates": [38.41, 39.428]}</x:v>
      </x:c>
      <x:c r="AN31" s="133" t="str">
        <x:v>Trafo merkezi / elektrik bağlantı noktası (yaklaşık)</x:v>
      </x:c>
      <x:c r="AO31" s="133"/>
      <x:c r="AP31" s="133"/>
      <x:c r="AQ31" s="134"/>
      <x:c r="AR31" s="134"/>
      <x:c r="AS31" s="133"/>
      <x:c r="AT31" s="133" t="str">
        <x:v>https://cbs1.tarimorman.gov.tr/server/rest/services/TATUS/FeatureServer/7/query?where=HAVZA_ID%3D21+AND+%28BarajAdi%3D%27BA%C4%9EI%C5%9ETA%C5%9E2%27%29&amp;outFields=OBJECTID%2CBarajAdi%2CHavzaAdi%2CHAVZA_ID%2CIl&amp;returnGeometry=true&amp;outSR=4326&amp;f=geojson</x:v>
      </x:c>
      <x:c r="AU31" s="133"/>
      <x:c r="AV31" s="133" t="str">
        <x:v>Polyline / LineString</x:v>
      </x:c>
      <x:c r="AW31" s="133" t="str">
        <x:v>https://cbs1.tarimorman.gov.tr/server/rest/services/TATUS/FeatureServer/8/query?where=HAVZA_ID%3D21&amp;geometry=38.410000%2C39.428000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1" s="133" t="str">
        <x:v>TATUS spatial query hazır; en yakın/uygun LineString seçilmeli</x:v>
      </x:c>
      <x:c r="AY31" s="133" t="str">
        <x:v>Polygon</x:v>
      </x:c>
      <x:c r="AZ31" s="133" t="str">
        <x:v>https://cbs1.tarimorman.gov.tr/server/rest/services/TATUS/FeatureServer/9/query?where=1%3D1&amp;geometry=38.410000%2C39.428000&amp;geometryType=esriGeometryPoint&amp;inSR=4326&amp;spatialRel=esriSpatialRelIntersects&amp;outFields=%2A&amp;returnGeometry=true&amp;outSR=4326&amp;resultRecordCount=5&amp;f=geojson</x:v>
      </x:c>
      <x:c r="BA31" s="133" t="str">
        <x:v>Santral popup: Su alanını göster</x:v>
      </x:c>
      <x:c r="BB31" s="133" t="str">
        <x:v>Orta-Düşük</x:v>
      </x:c>
      <x:c r="BC31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32" ht="30" customHeight="1">
      <x:c r="A32" s="100" t="n">
        <x:v>29</x:v>
      </x:c>
      <x:c r="B32" s="32" t="str">
        <x:v>BAHÇELİK HES</x:v>
      </x:c>
      <x:c r="C32" s="32" t="str">
        <x:v>Seyhan</x:v>
      </x:c>
      <x:c r="D32" s="32" t="str">
        <x:v>Seyhan</x:v>
      </x:c>
      <x:c r="E32" s="34" t="n">
        <x:v>18</x:v>
      </x:c>
      <x:c r="F32" s="32" t="str">
        <x:v>https://cbs1.tarimorman.gov.tr/server/rest/services/TATUS/FeatureServer/11/query?where=ID%3D18&amp;outFields=ID%2CHAVZA_ADI%2CALAN_KM2&amp;returnGeometry=true&amp;outSR=4326&amp;f=geojson</x:v>
      </x:c>
      <x:c r="G32" s="32" t="str">
        <x:v>BAHÇELİK</x:v>
      </x:c>
      <x:c r="H32" s="32" t="str">
        <x:v>KAYSERİ</x:v>
      </x:c>
      <x:c r="I32" s="36" t="n">
        <x:v>38.67639</x:v>
      </x:c>
      <x:c r="J32" s="36" t="n">
        <x:v>36.29083</x:v>
      </x:c>
      <x:c r="K32" s="38" t="n">
        <x:v>1500</x:v>
      </x:c>
      <x:c r="L32" s="38" t="n">
        <x:v>1472</x:v>
      </x:c>
      <x:c r="M32" s="32"/>
      <x:c r="N32" s="38" t="n">
        <x:v>4</x:v>
      </x:c>
      <x:c r="O32" s="38" t="n">
        <x:v>10</x:v>
      </x:c>
      <x:c r="P32" s="38" t="n">
        <x:v>210</x:v>
      </x:c>
      <x:c r="Q32" s="38" t="n">
        <x:v>28</x:v>
      </x:c>
      <x:c r="R32" s="38" t="n">
        <x:v>101.92</x:v>
      </x:c>
      <x:c r="S32" s="38" t="n">
        <x:v>9.92</x:v>
      </x:c>
      <x:c r="T32" s="40" t="n">
        <x:v>46278.81434027778</x:v>
      </x:c>
      <x:c r="U32" s="32" t="str">
        <x:v>exact</x:v>
      </x:c>
      <x:c r="V32" s="32" t="str">
        <x:v>B</x:v>
      </x:c>
      <x:c r="W32" s="32" t="str">
        <x:v>Yüklü Debi_ve_Kurulu_Guc-13092026.xlsx</x:v>
      </x:c>
      <x:c r="X32" s="32" t="str">
        <x:v>Yüklü Debi_ve_Kurulu_Guc-13092026.xlsx</x:v>
      </x:c>
      <x:c r="Y32" s="32" t="str">
        <x:v>TATUS Baraj Gözlem İstasyonları (FeatureServer/7) fallback</x:v>
      </x:c>
      <x:c r="Z32" s="32" t="str">
        <x:v>10</x:v>
      </x:c>
      <x:c r="AA32" s="101" t="str">
        <x:v>Kaskat alanında kaynak değeri '10' (belirsiz/sentinel); Koordinat güvenilir açık kaynaktan doğrulanamadı; TATUS baraj noktası fallback: BAHÇELİK (exact); 1 nokta</x:v>
      </x:c>
      <x:c r="AB32" s="133" t="str">
        <x:v>TATUS baraj gözlem istasyonu ile tamamlandı</x:v>
      </x:c>
      <x:c r="AC32" s="133" t="str">
        <x:v>Baraj gözlem istasyonu (TATUS fallback)</x:v>
      </x:c>
      <x:c r="AD32" s="133"/>
      <x:c r="AE32" s="133"/>
      <x:c r="AF32" s="133"/>
      <x:c r="AG32" s="134"/>
      <x:c r="AH32" s="134"/>
      <x:c r="AI32" s="133"/>
      <x:c r="AJ32" s="133"/>
      <x:c r="AK32" s="135"/>
      <x:c r="AL32" s="133" t="str">
        <x:v>Point</x:v>
      </x:c>
      <x:c r="AM32" s="133" t="str">
        <x:v>{"type": "Point", "coordinates": [36.29083, 38.67639]}</x:v>
      </x:c>
      <x:c r="AN32" s="133" t="str">
        <x:v>TATUS Baraj Gözlem Point</x:v>
      </x:c>
      <x:c r="AO32" s="133" t="str">
        <x:v>BAHÇELİK</x:v>
      </x:c>
      <x:c r="AP32" s="133" t="n">
        <x:v>1</x:v>
      </x:c>
      <x:c r="AQ32" s="134" t="n">
        <x:v>38.67639</x:v>
      </x:c>
      <x:c r="AR32" s="134" t="n">
        <x:v>36.29083</x:v>
      </x:c>
      <x:c r="AS32" s="133" t="str">
        <x:v>{"type": "Point", "coordinates": [36.29083, 38.67639]}</x:v>
      </x:c>
      <x:c r="AT32" s="133" t="str">
        <x:v>https://cbs1.tarimorman.gov.tr/server/rest/services/TATUS/FeatureServer/7/query?where=HAVZA_ID%3D18+AND+%28BarajAdi%3D%27BAH%C3%87EL%C4%B0K%27%29&amp;outFields=OBJECTID%2CBarajAdi%2CHavzaAdi%2CHAVZA_ID%2CIl&amp;returnGeometry=true&amp;outSR=4326&amp;f=geojson</x:v>
      </x:c>
      <x:c r="AU32" s="133" t="str">
        <x:v>Seyhan</x:v>
      </x:c>
      <x:c r="AV32" s="133" t="str">
        <x:v>Polyline / LineString</x:v>
      </x:c>
      <x:c r="AW32" s="133" t="str">
        <x:v>https://cbs1.tarimorman.gov.tr/server/rest/services/TATUS/FeatureServer/8/query?where=HAVZA_ID%3D18&amp;geometry=36.290830%2C38.676390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2" s="133" t="str">
        <x:v>Havza ana akarsuyu ön-eşleme; TATUS spatial query ile doğrulanmalı</x:v>
      </x:c>
      <x:c r="AY32" s="133" t="str">
        <x:v>Polygon</x:v>
      </x:c>
      <x:c r="AZ32" s="133" t="str">
        <x:v>https://cbs1.tarimorman.gov.tr/server/rest/services/TATUS/FeatureServer/9/query?where=1%3D1&amp;geometry=36.290830%2C38.676390&amp;geometryType=esriGeometryPoint&amp;inSR=4326&amp;spatialRel=esriSpatialRelIntersects&amp;outFields=%2A&amp;returnGeometry=true&amp;outSR=4326&amp;resultRecordCount=5&amp;f=geojson</x:v>
      </x:c>
      <x:c r="BA32" s="133" t="str">
        <x:v>Santral popup: Su alanını göster</x:v>
      </x:c>
      <x:c r="BB32" s="133" t="str">
        <x:v>Yüksek-Orta</x:v>
      </x:c>
      <x:c r="BC32" s="133"/>
    </x:row>
    <x:row r="33" ht="30" customHeight="1">
      <x:c r="A33" s="100" t="n">
        <x:v>30</x:v>
      </x:c>
      <x:c r="B33" s="32" t="str">
        <x:v>BALKUSAN HES</x:v>
      </x:c>
      <x:c r="C33" s="32" t="str">
        <x:v>Doğu Akdeniz</x:v>
      </x:c>
      <x:c r="D33" s="32" t="str">
        <x:v>Doğu Akdeniz</x:v>
      </x:c>
      <x:c r="E33" s="34" t="n">
        <x:v>17</x:v>
      </x:c>
      <x:c r="F33" s="32" t="str">
        <x:v>https://cbs1.tarimorman.gov.tr/server/rest/services/TATUS/FeatureServer/11/query?where=ID%3D17&amp;outFields=ID%2CHAVZA_ADI%2CALAN_KM2&amp;returnGeometry=true&amp;outSR=4326&amp;f=geojson</x:v>
      </x:c>
      <x:c r="G33" s="32" t="str">
        <x:v>BALKUSAN</x:v>
      </x:c>
      <x:c r="H33" s="32" t="str">
        <x:v>KARAMAN</x:v>
      </x:c>
      <x:c r="I33" s="36" t="n">
        <x:v>36.70389</x:v>
      </x:c>
      <x:c r="J33" s="36" t="n">
        <x:v>32.96389</x:v>
      </x:c>
      <x:c r="K33" s="38" t="n">
        <x:v>1485</x:v>
      </x:c>
      <x:c r="L33" s="38" t="n">
        <x:v>1465.6</x:v>
      </x:c>
      <x:c r="M33" s="32"/>
      <x:c r="N33" s="38" t="n">
        <x:v>10</x:v>
      </x:c>
      <x:c r="O33" s="38" t="n">
        <x:v>4.1</x:v>
      </x:c>
      <x:c r="P33" s="38" t="n">
        <x:v>14.99</x:v>
      </x:c>
      <x:c r="Q33" s="38" t="n">
        <x:v>2.33</x:v>
      </x:c>
      <x:c r="R33" s="38" t="n">
        <x:v>7.95</x:v>
      </x:c>
      <x:c r="S33" s="38" t="n">
        <x:v>7.61</x:v>
      </x:c>
      <x:c r="T33" s="40" t="n">
        <x:v>46278.81434027778</x:v>
      </x:c>
      <x:c r="U33" s="32" t="str">
        <x:v>exact</x:v>
      </x:c>
      <x:c r="V33" s="32" t="str">
        <x:v>B</x:v>
      </x:c>
      <x:c r="W33" s="32" t="str">
        <x:v>Yüklü Debi_ve_Kurulu_Guc-13092026.xlsx</x:v>
      </x:c>
      <x:c r="X33" s="32" t="str">
        <x:v>Yüklü Debi_ve_Kurulu_Guc-13092026.xlsx</x:v>
      </x:c>
      <x:c r="Y33" s="32" t="str">
        <x:v>TATUS Baraj Gözlem İstasyonları (FeatureServer/7) fallback</x:v>
      </x:c>
      <x:c r="Z33" s="32" t="str">
        <x:v>10</x:v>
      </x:c>
      <x:c r="AA33" s="101" t="str">
        <x:v>Kaskat alanında kaynak değeri '10' (belirsiz/sentinel); Koordinat güvenilir açık kaynaktan doğrulanamadı; TATUS baraj noktası fallback: BALKUSAN (exact); 1 nokta</x:v>
      </x:c>
      <x:c r="AB33" s="133" t="str">
        <x:v>TATUS baraj gözlem istasyonu ile tamamlandı</x:v>
      </x:c>
      <x:c r="AC33" s="133" t="str">
        <x:v>Baraj gözlem istasyonu (TATUS fallback)</x:v>
      </x:c>
      <x:c r="AD33" s="133"/>
      <x:c r="AE33" s="133"/>
      <x:c r="AF33" s="133"/>
      <x:c r="AG33" s="134"/>
      <x:c r="AH33" s="134"/>
      <x:c r="AI33" s="133"/>
      <x:c r="AJ33" s="133"/>
      <x:c r="AK33" s="135"/>
      <x:c r="AL33" s="133" t="str">
        <x:v>Point</x:v>
      </x:c>
      <x:c r="AM33" s="133" t="str">
        <x:v>{"type": "Point", "coordinates": [32.96389, 36.70389]}</x:v>
      </x:c>
      <x:c r="AN33" s="133" t="str">
        <x:v>TATUS Baraj Gözlem Point</x:v>
      </x:c>
      <x:c r="AO33" s="133" t="str">
        <x:v>BALKUSAN</x:v>
      </x:c>
      <x:c r="AP33" s="133" t="n">
        <x:v>1</x:v>
      </x:c>
      <x:c r="AQ33" s="134" t="n">
        <x:v>36.70389</x:v>
      </x:c>
      <x:c r="AR33" s="134" t="n">
        <x:v>32.96389</x:v>
      </x:c>
      <x:c r="AS33" s="133" t="str">
        <x:v>{"type": "Point", "coordinates": [32.96389, 36.70389]}</x:v>
      </x:c>
      <x:c r="AT33" s="133" t="str">
        <x:v>https://cbs1.tarimorman.gov.tr/server/rest/services/TATUS/FeatureServer/7/query?where=HAVZA_ID%3D17+AND+%28BarajAdi%3D%27BALKUSAN%27%29&amp;outFields=OBJECTID%2CBarajAdi%2CHavzaAdi%2CHAVZA_ID%2CIl&amp;returnGeometry=true&amp;outSR=4326&amp;f=geojson</x:v>
      </x:c>
      <x:c r="AU33" s="133"/>
      <x:c r="AV33" s="133" t="str">
        <x:v>Polyline / LineString</x:v>
      </x:c>
      <x:c r="AW33" s="133" t="str">
        <x:v>https://cbs1.tarimorman.gov.tr/server/rest/services/TATUS/FeatureServer/8/query?where=HAVZA_ID%3D17&amp;geometry=32.963890%2C36.703890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3" s="133" t="str">
        <x:v>TATUS spatial query hazır; en yakın/uygun LineString seçilmeli</x:v>
      </x:c>
      <x:c r="AY33" s="133" t="str">
        <x:v>Polygon</x:v>
      </x:c>
      <x:c r="AZ33" s="133" t="str">
        <x:v>https://cbs1.tarimorman.gov.tr/server/rest/services/TATUS/FeatureServer/9/query?where=1%3D1&amp;geometry=32.963890%2C36.703890&amp;geometryType=esriGeometryPoint&amp;inSR=4326&amp;spatialRel=esriSpatialRelIntersects&amp;outFields=%2A&amp;returnGeometry=true&amp;outSR=4326&amp;resultRecordCount=5&amp;f=geojson</x:v>
      </x:c>
      <x:c r="BA33" s="133" t="str">
        <x:v>Santral popup: Su alanını göster</x:v>
      </x:c>
      <x:c r="BB33" s="133" t="str">
        <x:v>Yüksek-Orta</x:v>
      </x:c>
      <x:c r="BC33" s="133"/>
    </x:row>
    <x:row r="34" ht="30" customHeight="1">
      <x:c r="A34" s="100" t="n">
        <x:v>31</x:v>
      </x:c>
      <x:c r="B34" s="32" t="str">
        <x:v>BALLI HES</x:v>
      </x:c>
      <x:c r="C34" s="32" t="str">
        <x:v>Fırat Dicle</x:v>
      </x:c>
      <x:c r="D34" s="32" t="str">
        <x:v>Fırat-Dicle</x:v>
      </x:c>
      <x:c r="E34" s="34" t="n">
        <x:v>21</x:v>
      </x:c>
      <x:c r="F34" s="32" t="str">
        <x:v>https://cbs1.tarimorman.gov.tr/server/rest/services/TATUS/FeatureServer/11/query?where=ID%3D21&amp;outFields=ID%2CHAVZA_ADI%2CALAN_KM2&amp;returnGeometry=true&amp;outSR=4326&amp;f=geojson</x:v>
      </x:c>
      <x:c r="G34" s="32" t="str">
        <x:v>BALLI</x:v>
      </x:c>
      <x:c r="H34" s="32" t="str">
        <x:v>ŞIRNAK</x:v>
      </x:c>
      <x:c r="I34" s="36"/>
      <x:c r="J34" s="36"/>
      <x:c r="K34" s="38" t="n">
        <x:v>958.67</x:v>
      </x:c>
      <x:c r="L34" s="38" t="n">
        <x:v>0</x:v>
      </x:c>
      <x:c r="M34" s="32" t="str">
        <x:v>ULUDERE BARAJI VE HES</x:v>
      </x:c>
      <x:c r="N34" s="38" t="n">
        <x:v>2.37</x:v>
      </x:c>
      <x:c r="O34" s="38"/>
      <x:c r="P34" s="38"/>
      <x:c r="Q34" s="38"/>
      <x:c r="R34" s="38"/>
      <x:c r="S34" s="38"/>
      <x:c r="T34" s="40"/>
      <x:c r="U34" s="32" t="str">
        <x:v>eşleşme yok</x:v>
      </x:c>
      <x:c r="V34" s="32" t="str">
        <x:v>C</x:v>
      </x:c>
      <x:c r="W34" s="32" t="str">
        <x:v>https://enerji.dsi.gov.tr/Haber/Detay/11643</x:v>
      </x:c>
      <x:c r="X34" s="32" t="str">
        <x:v>https://enerji.dsi.gov.tr/Haber/Detay/11643</x:v>
      </x:c>
      <x:c r="Y34" s="32"/>
      <x:c r="Z34" s="32" t="str">
        <x:v>ULUDERE BARAJI VE HES</x:v>
      </x:c>
      <x:c r="AA34" s="101" t="str">
        <x:v>EPİAŞ su göstergesi eşleşmesi bulunamadı; Koordinat güvenilir açık kaynaktan doğrulanamadı; Kurulu güç bulunamadı; Kurulu güç kamu kaynağıyla doğrulandı; Ünite debisi doğrulanamadı; Maksimum/minimum hacim doğrulanamadı</x:v>
      </x:c>
      <x:c r="AB34" s="133" t="str">
        <x:v>Koordinat eksik</x:v>
      </x:c>
      <x:c r="AC34" s="133" t="str">
        <x:v>—</x:v>
      </x:c>
      <x:c r="AD34" s="133"/>
      <x:c r="AE34" s="133"/>
      <x:c r="AF34" s="133"/>
      <x:c r="AG34" s="134"/>
      <x:c r="AH34" s="134"/>
      <x:c r="AI34" s="133"/>
      <x:c r="AJ34" s="133"/>
      <x:c r="AK34" s="135"/>
      <x:c r="AL34" s="133" t="str">
        <x:v>Point</x:v>
      </x:c>
      <x:c r="AM34" s="133"/>
      <x:c r="AN34" s="133" t="str">
        <x:v>Koordinat yok</x:v>
      </x:c>
      <x:c r="AO34" s="133"/>
      <x:c r="AP34" s="133"/>
      <x:c r="AQ34" s="134"/>
      <x:c r="AR34" s="134"/>
      <x:c r="AS34" s="133"/>
      <x:c r="AT34" s="133" t="str">
        <x:v>https://cbs1.tarimorman.gov.tr/server/rest/services/TATUS/FeatureServer/7/query?where=HAVZA_ID%3D21+AND+%28BarajAdi%3D%27BALLI%27%29&amp;outFields=OBJECTID%2CBarajAdi%2CHavzaAdi%2CHAVZA_ID%2CIl&amp;returnGeometry=true&amp;outSR=4326&amp;f=geojson</x:v>
      </x:c>
      <x:c r="AU34" s="133"/>
      <x:c r="AV34" s="133" t="str">
        <x:v>Polyline / LineString</x:v>
      </x:c>
      <x:c r="AW34" s="133"/>
      <x:c r="AX34" s="133" t="str">
        <x:v>Koordinat yok; spatial eşleme yapılamadı</x:v>
      </x:c>
      <x:c r="AY34" s="133" t="str">
        <x:v>Polygon</x:v>
      </x:c>
      <x:c r="AZ34" s="133"/>
      <x:c r="BA34" s="133" t="str">
        <x:v>Santral popup: Su alanını göster</x:v>
      </x:c>
      <x:c r="BB34" s="133" t="str">
        <x:v>Yok</x:v>
      </x:c>
      <x:c r="BC34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35" ht="30" customHeight="1">
      <x:c r="A35" s="100" t="n">
        <x:v>32</x:v>
      </x:c>
      <x:c r="B35" s="32" t="str">
        <x:v>BATMAN HES</x:v>
      </x:c>
      <x:c r="C35" s="32" t="str">
        <x:v>Fırat Dicle</x:v>
      </x:c>
      <x:c r="D35" s="32" t="str">
        <x:v>Fırat-Dicle</x:v>
      </x:c>
      <x:c r="E35" s="34" t="n">
        <x:v>21</x:v>
      </x:c>
      <x:c r="F35" s="32" t="str">
        <x:v>https://cbs1.tarimorman.gov.tr/server/rest/services/TATUS/FeatureServer/11/query?where=ID%3D21&amp;outFields=ID%2CHAVZA_ADI%2CALAN_KM2&amp;returnGeometry=true&amp;outSR=4326&amp;f=geojson</x:v>
      </x:c>
      <x:c r="G35" s="32" t="str">
        <x:v>BATMAN</x:v>
      </x:c>
      <x:c r="H35" s="32" t="str">
        <x:v>BATMAN</x:v>
      </x:c>
      <x:c r="I35" s="36" t="n">
        <x:v>38.158</x:v>
      </x:c>
      <x:c r="J35" s="36" t="n">
        <x:v>41.203</x:v>
      </x:c>
      <x:c r="K35" s="38" t="n">
        <x:v>666</x:v>
      </x:c>
      <x:c r="L35" s="38" t="n">
        <x:v>645</x:v>
      </x:c>
      <x:c r="M35" s="32" t="str">
        <x:v>ILISU HES</x:v>
      </x:c>
      <x:c r="N35" s="38" t="n">
        <x:v>198</x:v>
      </x:c>
      <x:c r="O35" s="38"/>
      <x:c r="P35" s="38"/>
      <x:c r="Q35" s="38"/>
      <x:c r="R35" s="38"/>
      <x:c r="S35" s="38"/>
      <x:c r="T35" s="40"/>
      <x:c r="U35" s="32" t="str">
        <x:v>eşleşme yok</x:v>
      </x:c>
      <x:c r="V35" s="32" t="str">
        <x:v>C</x:v>
      </x:c>
      <x:c r="W35" s="32" t="str">
        <x:v>https://openinframap.org/stats/area/Turkey/plants?source=hydro</x:v>
      </x:c>
      <x:c r="X35" s="32" t="str">
        <x:v>https://openinframap.org/stats/area/Turkey/plants?source=hydro</x:v>
      </x:c>
      <x:c r="Y35" s="32" t="str">
        <x:v>hes_MERKEZI_LISTESI.xlsx — trafo merkezi koordinatı (yaklaşık)</x:v>
      </x:c>
      <x:c r="Z35" s="32" t="str">
        <x:v>ILISU HES</x:v>
      </x:c>
      <x:c r="AA35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35" s="133" t="str">
        <x:v>Trafo merkezi koordinatı ile tamamlandı</x:v>
      </x:c>
      <x:c r="AC35" s="133" t="str">
        <x:v>Trafo merkezi / elektrik bağlantı noktası (yaklaşık)</x:v>
      </x:c>
      <x:c r="AD35" s="133" t="n">
        <x:v>609</x:v>
      </x:c>
      <x:c r="AE35" s="133" t="str">
        <x:v>BATMAN HES</x:v>
      </x:c>
      <x:c r="AF35" s="133" t="str">
        <x:v>Batman</x:v>
      </x:c>
      <x:c r="AG35" s="134" t="n">
        <x:v>38.158</x:v>
      </x:c>
      <x:c r="AH35" s="134" t="n">
        <x:v>41.203</x:v>
      </x:c>
      <x:c r="AI35" s="133" t="str">
        <x:v>Tam ad eşleşmesi</x:v>
      </x:c>
      <x:c r="AJ35" s="133" t="str">
        <x:v>Yüksek</x:v>
      </x:c>
      <x:c r="AK35" s="135"/>
      <x:c r="AL35" s="133" t="str">
        <x:v>Point</x:v>
      </x:c>
      <x:c r="AM35" s="133" t="str">
        <x:v>{"type": "Point", "coordinates": [41.203, 38.158]}</x:v>
      </x:c>
      <x:c r="AN35" s="133" t="str">
        <x:v>Trafo merkezi / elektrik bağlantı noktası (yaklaşık)</x:v>
      </x:c>
      <x:c r="AO35" s="133"/>
      <x:c r="AP35" s="133"/>
      <x:c r="AQ35" s="134"/>
      <x:c r="AR35" s="134"/>
      <x:c r="AS35" s="133"/>
      <x:c r="AT35" s="133" t="str">
        <x:v>https://cbs1.tarimorman.gov.tr/server/rest/services/TATUS/FeatureServer/7/query?where=HAVZA_ID%3D21+AND+%28BarajAdi%3D%27BATMAN%27%29&amp;outFields=OBJECTID%2CBarajAdi%2CHavzaAdi%2CHAVZA_ID%2CIl&amp;returnGeometry=true&amp;outSR=4326&amp;f=geojson</x:v>
      </x:c>
      <x:c r="AU35" s="133"/>
      <x:c r="AV35" s="133" t="str">
        <x:v>Polyline / LineString</x:v>
      </x:c>
      <x:c r="AW35" s="133" t="str">
        <x:v>https://cbs1.tarimorman.gov.tr/server/rest/services/TATUS/FeatureServer/8/query?where=HAVZA_ID%3D21&amp;geometry=41.203000%2C38.158000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5" s="133" t="str">
        <x:v>TATUS spatial query hazır; en yakın/uygun LineString seçilmeli</x:v>
      </x:c>
      <x:c r="AY35" s="133" t="str">
        <x:v>Polygon</x:v>
      </x:c>
      <x:c r="AZ35" s="133" t="str">
        <x:v>https://cbs1.tarimorman.gov.tr/server/rest/services/TATUS/FeatureServer/9/query?where=1%3D1&amp;geometry=41.203000%2C38.158000&amp;geometryType=esriGeometryPoint&amp;inSR=4326&amp;spatialRel=esriSpatialRelIntersects&amp;outFields=%2A&amp;returnGeometry=true&amp;outSR=4326&amp;resultRecordCount=5&amp;f=geojson</x:v>
      </x:c>
      <x:c r="BA35" s="133" t="str">
        <x:v>Santral popup: Su alanını göster</x:v>
      </x:c>
      <x:c r="BB35" s="133" t="str">
        <x:v>Orta-Düşük</x:v>
      </x:c>
      <x:c r="BC35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36" ht="30" customHeight="1">
      <x:c r="A36" s="100" t="n">
        <x:v>33</x:v>
      </x:c>
      <x:c r="B36" s="32" t="str">
        <x:v>BAYRAMHACILI HES</x:v>
      </x:c>
      <x:c r="C36" s="32" t="str">
        <x:v>Kızılırmak</x:v>
      </x:c>
      <x:c r="D36" s="32" t="str">
        <x:v>Kızılırmak</x:v>
      </x:c>
      <x:c r="E36" s="34" t="n">
        <x:v>15</x:v>
      </x:c>
      <x:c r="F36" s="32" t="str">
        <x:v>https://cbs1.tarimorman.gov.tr/server/rest/services/TATUS/FeatureServer/11/query?where=ID%3D15&amp;outFields=ID%2CHAVZA_ADI%2CALAN_KM2&amp;returnGeometry=true&amp;outSR=4326&amp;f=geojson</x:v>
      </x:c>
      <x:c r="G36" s="32" t="str">
        <x:v>BAYRAMHACILI HES</x:v>
      </x:c>
      <x:c r="H36" s="32" t="str">
        <x:v>NEVŞEHİR</x:v>
      </x:c>
      <x:c r="I36" s="36" t="n">
        <x:v>38.763</x:v>
      </x:c>
      <x:c r="J36" s="36" t="n">
        <x:v>34.967</x:v>
      </x:c>
      <x:c r="K36" s="38" t="n">
        <x:v>980</x:v>
      </x:c>
      <x:c r="L36" s="38" t="n">
        <x:v>975</x:v>
      </x:c>
      <x:c r="M36" s="32" t="str">
        <x:v>HİRFANLI HES</x:v>
      </x:c>
      <x:c r="N36" s="38" t="n">
        <x:v>48.5</x:v>
      </x:c>
      <x:c r="O36" s="38" t="n">
        <x:v>135</x:v>
      </x:c>
      <x:c r="P36" s="38" t="n">
        <x:v>215</x:v>
      </x:c>
      <x:c r="Q36" s="38" t="n">
        <x:v>149</x:v>
      </x:c>
      <x:c r="R36" s="38" t="n">
        <x:v>45.24</x:v>
      </x:c>
      <x:c r="S36" s="38" t="n">
        <x:v>4.4</x:v>
      </x:c>
      <x:c r="T36" s="40" t="n">
        <x:v>46278.81434027778</x:v>
      </x:c>
      <x:c r="U36" s="32" t="str">
        <x:v>exact</x:v>
      </x:c>
      <x:c r="V36" s="32" t="str">
        <x:v>B</x:v>
      </x:c>
      <x:c r="W36" s="32" t="str">
        <x:v>Yüklü Debi_ve_Kurulu_Guc-13092026.xlsx</x:v>
      </x:c>
      <x:c r="X36" s="32" t="str">
        <x:v>Yüklü Debi_ve_Kurulu_Guc-13092026.xlsx</x:v>
      </x:c>
      <x:c r="Y36" s="32" t="str">
        <x:v>hes_MERKEZI_LISTESI.xlsx — trafo merkezi koordinatı (yaklaşık)</x:v>
      </x:c>
      <x:c r="Z36" s="32" t="str">
        <x:v>HİRFANLI HES</x:v>
      </x:c>
      <x:c r="AA36" s="101" t="str">
        <x:v>Koordinat güvenilir açık kaynaktan doğrulanamadı; Santral/baraj kesin koordinatı doğrulanamadığı için eşleşen trafo merkezi koordinatı harita referansı olarak kullanıldı; kesin HES konumu değildir.</x:v>
      </x:c>
      <x:c r="AB36" s="133" t="str">
        <x:v>Trafo merkezi koordinatı ile tamamlandı</x:v>
      </x:c>
      <x:c r="AC36" s="133" t="str">
        <x:v>Trafo merkezi / elektrik bağlantı noktası (yaklaşık)</x:v>
      </x:c>
      <x:c r="AD36" s="133" t="n">
        <x:v>7</x:v>
      </x:c>
      <x:c r="AE36" s="133" t="str">
        <x:v>BAYRAMHACILI HES</x:v>
      </x:c>
      <x:c r="AF36" s="133" t="str">
        <x:v>Nevşehir</x:v>
      </x:c>
      <x:c r="AG36" s="134" t="n">
        <x:v>38.763</x:v>
      </x:c>
      <x:c r="AH36" s="134" t="n">
        <x:v>34.967</x:v>
      </x:c>
      <x:c r="AI36" s="133" t="str">
        <x:v>Tam ad eşleşmesi</x:v>
      </x:c>
      <x:c r="AJ36" s="133" t="str">
        <x:v>Yüksek</x:v>
      </x:c>
      <x:c r="AK36" s="135"/>
      <x:c r="AL36" s="133" t="str">
        <x:v>Point</x:v>
      </x:c>
      <x:c r="AM36" s="133" t="str">
        <x:v>{"type": "Point", "coordinates": [34.967, 38.763]}</x:v>
      </x:c>
      <x:c r="AN36" s="133" t="str">
        <x:v>Trafo merkezi / elektrik bağlantı noktası (yaklaşık)</x:v>
      </x:c>
      <x:c r="AO36" s="133"/>
      <x:c r="AP36" s="133"/>
      <x:c r="AQ36" s="134"/>
      <x:c r="AR36" s="134"/>
      <x:c r="AS36" s="133"/>
      <x:c r="AT36" s="133" t="str">
        <x:v>https://cbs1.tarimorman.gov.tr/server/rest/services/TATUS/FeatureServer/7/query?where=HAVZA_ID%3D15+AND+%28BarajAdi%3D%27BAYRAMHACILI+HES%27+OR+BarajAdi%3D%27BAYRAMHACILI%27%29&amp;outFields=OBJECTID%2CBarajAdi%2CHavzaAdi%2CHAVZA_ID%2CIl&amp;returnGeometry=true&amp;outSR=4326&amp;f=geojson</x:v>
      </x:c>
      <x:c r="AU36" s="133" t="str">
        <x:v>Kızılırmak</x:v>
      </x:c>
      <x:c r="AV36" s="133" t="str">
        <x:v>Polyline / LineString</x:v>
      </x:c>
      <x:c r="AW36" s="133" t="str">
        <x:v>https://cbs1.tarimorman.gov.tr/server/rest/services/TATUS/FeatureServer/8/query?where=HAVZA_ID%3D15&amp;geometry=34.967000%2C38.763000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6" s="133" t="str">
        <x:v>Havza ana akarsuyu ön-eşleme; TATUS spatial query ile doğrulanmalı</x:v>
      </x:c>
      <x:c r="AY36" s="133" t="str">
        <x:v>Polygon</x:v>
      </x:c>
      <x:c r="AZ36" s="133" t="str">
        <x:v>https://cbs1.tarimorman.gov.tr/server/rest/services/TATUS/FeatureServer/9/query?where=1%3D1&amp;geometry=34.967000%2C38.763000&amp;geometryType=esriGeometryPoint&amp;inSR=4326&amp;spatialRel=esriSpatialRelIntersects&amp;outFields=%2A&amp;returnGeometry=true&amp;outSR=4326&amp;resultRecordCount=5&amp;f=geojson</x:v>
      </x:c>
      <x:c r="BA36" s="133" t="str">
        <x:v>Santral popup: Su alanını göster</x:v>
      </x:c>
      <x:c r="BB36" s="133" t="str">
        <x:v>Orta-Düşük</x:v>
      </x:c>
      <x:c r="BC36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37" ht="30" customHeight="1">
      <x:c r="A37" s="100" t="n">
        <x:v>34</x:v>
      </x:c>
      <x:c r="B37" s="32" t="str">
        <x:v>BERDAN HES</x:v>
      </x:c>
      <x:c r="C37" s="32" t="str">
        <x:v>Doğu Akdeniz</x:v>
      </x:c>
      <x:c r="D37" s="32" t="str">
        <x:v>Doğu Akdeniz</x:v>
      </x:c>
      <x:c r="E37" s="34" t="n">
        <x:v>17</x:v>
      </x:c>
      <x:c r="F37" s="32" t="str">
        <x:v>https://cbs1.tarimorman.gov.tr/server/rest/services/TATUS/FeatureServer/11/query?where=ID%3D17&amp;outFields=ID%2CHAVZA_ADI%2CALAN_KM2&amp;returnGeometry=true&amp;outSR=4326&amp;f=geojson</x:v>
      </x:c>
      <x:c r="G37" s="32" t="str">
        <x:v>BERDAN</x:v>
      </x:c>
      <x:c r="H37" s="32" t="str">
        <x:v>İÇEL</x:v>
      </x:c>
      <x:c r="I37" s="36"/>
      <x:c r="J37" s="36"/>
      <x:c r="K37" s="38" t="n">
        <x:v>67.41</x:v>
      </x:c>
      <x:c r="L37" s="38" t="n">
        <x:v>44</x:v>
      </x:c>
      <x:c r="M37" s="32"/>
      <x:c r="N37" s="38" t="n">
        <x:v>10.2</x:v>
      </x:c>
      <x:c r="O37" s="38" t="n">
        <x:v>48</x:v>
      </x:c>
      <x:c r="P37" s="38" t="n">
        <x:v>170.01</x:v>
      </x:c>
      <x:c r="Q37" s="38" t="n">
        <x:v>16.79</x:v>
      </x:c>
      <x:c r="R37" s="38" t="n">
        <x:v>87.33</x:v>
      </x:c>
      <x:c r="S37" s="38" t="n">
        <x:v>6.54</x:v>
      </x:c>
      <x:c r="T37" s="40" t="n">
        <x:v>46278.81434027778</x:v>
      </x:c>
      <x:c r="U37" s="32" t="str">
        <x:v>exact</x:v>
      </x:c>
      <x:c r="V37" s="32" t="str">
        <x:v>B</x:v>
      </x:c>
      <x:c r="W37" s="32" t="str">
        <x:v>Yüklü Debi_ve_Kurulu_Guc-13092026.xlsx</x:v>
      </x:c>
      <x:c r="X37" s="32" t="str">
        <x:v>Yüklü Debi_ve_Kurulu_Guc-13092026.xlsx</x:v>
      </x:c>
      <x:c r="Y37" s="32"/>
      <x:c r="Z37" s="32" t="str">
        <x:v>10</x:v>
      </x:c>
      <x:c r="AA37" s="101" t="str">
        <x:v>Kaskat alanında kaynak değeri '10' (belirsiz/sentinel); Koordinat güvenilir açık kaynaktan doğrulanamadı</x:v>
      </x:c>
      <x:c r="AB37" s="133" t="str">
        <x:v>Koordinat eksik</x:v>
      </x:c>
      <x:c r="AC37" s="133" t="str">
        <x:v>—</x:v>
      </x:c>
      <x:c r="AD37" s="133"/>
      <x:c r="AE37" s="133"/>
      <x:c r="AF37" s="133"/>
      <x:c r="AG37" s="134"/>
      <x:c r="AH37" s="134"/>
      <x:c r="AI37" s="133"/>
      <x:c r="AJ37" s="133"/>
      <x:c r="AK37" s="135"/>
      <x:c r="AL37" s="133" t="str">
        <x:v>Point</x:v>
      </x:c>
      <x:c r="AM37" s="133"/>
      <x:c r="AN37" s="133" t="str">
        <x:v>Koordinat yok</x:v>
      </x:c>
      <x:c r="AO37" s="133"/>
      <x:c r="AP37" s="133"/>
      <x:c r="AQ37" s="134"/>
      <x:c r="AR37" s="134"/>
      <x:c r="AS37" s="133"/>
      <x:c r="AT37" s="133" t="str">
        <x:v>https://cbs1.tarimorman.gov.tr/server/rest/services/TATUS/FeatureServer/7/query?where=HAVZA_ID%3D17+AND+%28BarajAdi%3D%27BERDAN%27%29&amp;outFields=OBJECTID%2CBarajAdi%2CHavzaAdi%2CHAVZA_ID%2CIl&amp;returnGeometry=true&amp;outSR=4326&amp;f=geojson</x:v>
      </x:c>
      <x:c r="AU37" s="133"/>
      <x:c r="AV37" s="133" t="str">
        <x:v>Polyline / LineString</x:v>
      </x:c>
      <x:c r="AW37" s="133"/>
      <x:c r="AX37" s="133" t="str">
        <x:v>Koordinat yok; spatial eşleme yapılamadı</x:v>
      </x:c>
      <x:c r="AY37" s="133" t="str">
        <x:v>Polygon</x:v>
      </x:c>
      <x:c r="AZ37" s="133"/>
      <x:c r="BA37" s="133" t="str">
        <x:v>Santral popup: Su alanını göster</x:v>
      </x:c>
      <x:c r="BB37" s="133" t="str">
        <x:v>Yok</x:v>
      </x:c>
      <x:c r="BC37" s="133" t="str">
        <x:v>TATUS baraj point doğrudan eşleşmesi bu çalışma kitabında çözülmedi; sorgu URL'si eklendi; Koordinat eksik olduğu için akarsu ve su toplama alanı spatial sorgusu üretilemedi</x:v>
      </x:c>
    </x:row>
    <x:row r="38" ht="30" customHeight="1">
      <x:c r="A38" s="100" t="n">
        <x:v>35</x:v>
      </x:c>
      <x:c r="B38" s="32" t="str">
        <x:v>BERKE HES</x:v>
      </x:c>
      <x:c r="C38" s="32" t="str">
        <x:v>Ceyhan</x:v>
      </x:c>
      <x:c r="D38" s="32" t="str">
        <x:v>Ceyhan</x:v>
      </x:c>
      <x:c r="E38" s="34" t="n">
        <x:v>20</x:v>
      </x:c>
      <x:c r="F38" s="32" t="str">
        <x:v>https://cbs1.tarimorman.gov.tr/server/rest/services/TATUS/FeatureServer/11/query?where=ID%3D20&amp;outFields=ID%2CHAVZA_ADI%2CALAN_KM2&amp;returnGeometry=true&amp;outSR=4326&amp;f=geojson</x:v>
      </x:c>
      <x:c r="G38" s="32" t="str">
        <x:v>BERKE </x:v>
      </x:c>
      <x:c r="H38" s="32" t="str">
        <x:v>OSMANİYE</x:v>
      </x:c>
      <x:c r="I38" s="36" t="n">
        <x:v>37.37308</x:v>
      </x:c>
      <x:c r="J38" s="36" t="n">
        <x:v>36.46155</x:v>
      </x:c>
      <x:c r="K38" s="38" t="n">
        <x:v>345</x:v>
      </x:c>
      <x:c r="L38" s="38" t="n">
        <x:v>290</x:v>
      </x:c>
      <x:c r="M38" s="32"/>
      <x:c r="N38" s="38" t="n">
        <x:v>510</x:v>
      </x:c>
      <x:c r="O38" s="38" t="n">
        <x:v>301.7</x:v>
      </x:c>
      <x:c r="P38" s="38" t="n">
        <x:v>427</x:v>
      </x:c>
      <x:c r="Q38" s="38" t="n">
        <x:v>125</x:v>
      </x:c>
      <x:c r="R38" s="38" t="n">
        <x:v>274.34</x:v>
      </x:c>
      <x:c r="S38" s="38" t="n">
        <x:v>126.48</x:v>
      </x:c>
      <x:c r="T38" s="40" t="n">
        <x:v>46278.81434027778</x:v>
      </x:c>
      <x:c r="U38" s="32" t="str">
        <x:v>exact</x:v>
      </x:c>
      <x:c r="V38" s="32" t="str">
        <x:v>A</x:v>
      </x:c>
      <x:c r="W38" s="32" t="str">
        <x:v>Yüklü Debi_ve_Kurulu_Guc-13092026.xlsx</x:v>
      </x:c>
      <x:c r="X38" s="32" t="str">
        <x:v>Yüklü Debi_ve_Kurulu_Guc-13092026.xlsx</x:v>
      </x:c>
      <x:c r="Y38" s="32" t="str">
        <x:v>https://cbs1.tarimorman.gov.tr/server/rest/services/TATUS/FeatureServer/7</x:v>
      </x:c>
      <x:c r="Z38" s="32" t="str">
        <x:v>10</x:v>
      </x:c>
      <x:c r="AA38" s="101" t="str">
        <x:v>Kaskat alanında kaynak değeri '10' (belirsiz/sentinel)</x:v>
      </x:c>
      <x:c r="AB38" s="133" t="str">
        <x:v>Doğrulanmış koordinat mevcut</x:v>
      </x:c>
      <x:c r="AC38" s="133" t="str">
        <x:v>HES / baraj noktası</x:v>
      </x:c>
      <x:c r="AD38" s="133" t="n">
        <x:v>74</x:v>
      </x:c>
      <x:c r="AE38" s="133" t="str">
        <x:v>BERKE HES</x:v>
      </x:c>
      <x:c r="AF38" s="133" t="str">
        <x:v>Osmaniye</x:v>
      </x:c>
      <x:c r="AG38" s="134" t="n">
        <x:v>37.369</x:v>
      </x:c>
      <x:c r="AH38" s="134" t="n">
        <x:v>36.442</x:v>
      </x:c>
      <x:c r="AI38" s="133" t="str">
        <x:v>Tam ad eşleşmesi</x:v>
      </x:c>
      <x:c r="AJ38" s="133" t="str">
        <x:v>Yüksek</x:v>
      </x:c>
      <x:c r="AK38" s="135" t="n">
        <x:v>1.786</x:v>
      </x:c>
      <x:c r="AL38" s="133" t="str">
        <x:v>Point</x:v>
      </x:c>
      <x:c r="AM38" s="133" t="str">
        <x:v>{"type": "Point", "coordinates": [36.46155, 37.37308]}</x:v>
      </x:c>
      <x:c r="AN38" s="133" t="str">
        <x:v>TATUS Baraj Gözlem Point</x:v>
      </x:c>
      <x:c r="AO38" s="133" t="str">
        <x:v>BERKE </x:v>
      </x:c>
      <x:c r="AP38" s="133" t="n">
        <x:v>1</x:v>
      </x:c>
      <x:c r="AQ38" s="134" t="n">
        <x:v>37.37308</x:v>
      </x:c>
      <x:c r="AR38" s="134" t="n">
        <x:v>36.46155</x:v>
      </x:c>
      <x:c r="AS38" s="133" t="str">
        <x:v>{"type": "Point", "coordinates": [36.46155, 37.37308]}</x:v>
      </x:c>
      <x:c r="AT38" s="133" t="str">
        <x:v>https://cbs1.tarimorman.gov.tr/server/rest/services/TATUS/FeatureServer/7/query?where=HAVZA_ID%3D20+AND+%28BarajAdi%3D%27BERKE+%27+OR+BarajAdi%3D%27BERKE%27%29&amp;outFields=OBJECTID%2CBarajAdi%2CHavzaAdi%2CHAVZA_ID%2CIl&amp;returnGeometry=true&amp;outSR=4326&amp;f=geojson</x:v>
      </x:c>
      <x:c r="AU38" s="133" t="str">
        <x:v>Ceyhan</x:v>
      </x:c>
      <x:c r="AV38" s="133" t="str">
        <x:v>Polyline / LineString</x:v>
      </x:c>
      <x:c r="AW38" s="133" t="str">
        <x:v>https://cbs1.tarimorman.gov.tr/server/rest/services/TATUS/FeatureServer/8/query?where=HAVZA_ID%3D20&amp;geometry=36.461550%2C37.373080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8" s="133" t="str">
        <x:v>Havza ana akarsuyu ön-eşleme; TATUS spatial query ile doğrulanmalı</x:v>
      </x:c>
      <x:c r="AY38" s="133" t="str">
        <x:v>Polygon</x:v>
      </x:c>
      <x:c r="AZ38" s="133" t="str">
        <x:v>https://cbs1.tarimorman.gov.tr/server/rest/services/TATUS/FeatureServer/9/query?where=1%3D1&amp;geometry=36.461550%2C37.373080&amp;geometryType=esriGeometryPoint&amp;inSR=4326&amp;spatialRel=esriSpatialRelIntersects&amp;outFields=%2A&amp;returnGeometry=true&amp;outSR=4326&amp;resultRecordCount=5&amp;f=geojson</x:v>
      </x:c>
      <x:c r="BA38" s="133" t="str">
        <x:v>Santral popup: Su alanını göster</x:v>
      </x:c>
      <x:c r="BB38" s="133" t="str">
        <x:v>Yüksek</x:v>
      </x:c>
      <x:c r="BC38" s="133"/>
    </x:row>
    <x:row r="39" ht="30" customHeight="1">
      <x:c r="A39" s="100" t="n">
        <x:v>36</x:v>
      </x:c>
      <x:c r="B39" s="32" t="str">
        <x:v>BEYHAN1 HES</x:v>
      </x:c>
      <x:c r="C39" s="32" t="str">
        <x:v>Fırat Dicle</x:v>
      </x:c>
      <x:c r="D39" s="32" t="str">
        <x:v>Fırat-Dicle</x:v>
      </x:c>
      <x:c r="E39" s="34" t="n">
        <x:v>21</x:v>
      </x:c>
      <x:c r="F39" s="32" t="str">
        <x:v>https://cbs1.tarimorman.gov.tr/server/rest/services/TATUS/FeatureServer/11/query?where=ID%3D21&amp;outFields=ID%2CHAVZA_ADI%2CALAN_KM2&amp;returnGeometry=true&amp;outSR=4326&amp;f=geojson</x:v>
      </x:c>
      <x:c r="G39" s="32" t="str">
        <x:v>BEYHAN1</x:v>
      </x:c>
      <x:c r="H39" s="32" t="str">
        <x:v>ELAZIĞ</x:v>
      </x:c>
      <x:c r="I39" s="36" t="n">
        <x:v>38.743</x:v>
      </x:c>
      <x:c r="J39" s="36" t="n">
        <x:v>40.128</x:v>
      </x:c>
      <x:c r="K39" s="38" t="n">
        <x:v>982</x:v>
      </x:c>
      <x:c r="L39" s="38" t="n">
        <x:v>977</x:v>
      </x:c>
      <x:c r="M39" s="32" t="str">
        <x:v>KEBAN HES</x:v>
      </x:c>
      <x:c r="N39" s="38" t="n">
        <x:v>582</x:v>
      </x:c>
      <x:c r="O39" s="38"/>
      <x:c r="P39" s="38"/>
      <x:c r="Q39" s="38"/>
      <x:c r="R39" s="38"/>
      <x:c r="S39" s="38"/>
      <x:c r="T39" s="40"/>
      <x:c r="U39" s="32" t="str">
        <x:v>eşleşme yok</x:v>
      </x:c>
      <x:c r="V39" s="32" t="str">
        <x:v>C</x:v>
      </x:c>
      <x:c r="W39" s="32" t="str">
        <x:v>https://www.enerjiatlasi.com/hidroelektrik/?v=1.0.24</x:v>
      </x:c>
      <x:c r="X39" s="32" t="str">
        <x:v>https://openinframap.org/stats/area/Turkey/plants?source=hydro</x:v>
      </x:c>
      <x:c r="Y39" s="32" t="str">
        <x:v>hes_MERKEZI_LISTESI.xlsx — trafo merkezi koordinatı (yaklaşık)</x:v>
      </x:c>
      <x:c r="Z39" s="32" t="str">
        <x:v>KEBAN HES</x:v>
      </x:c>
      <x:c r="AA39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39" s="133" t="str">
        <x:v>Trafo merkezi koordinatı ile tamamlandı</x:v>
      </x:c>
      <x:c r="AC39" s="133" t="str">
        <x:v>Trafo merkezi / elektrik bağlantı noktası (yaklaşık)</x:v>
      </x:c>
      <x:c r="AD39" s="133" t="n">
        <x:v>1225</x:v>
      </x:c>
      <x:c r="AE39" s="133" t="str">
        <x:v>BEYHAN1 HES</x:v>
      </x:c>
      <x:c r="AF39" s="133" t="str">
        <x:v>Elazığ</x:v>
      </x:c>
      <x:c r="AG39" s="134" t="n">
        <x:v>38.743</x:v>
      </x:c>
      <x:c r="AH39" s="134" t="n">
        <x:v>40.128</x:v>
      </x:c>
      <x:c r="AI39" s="133" t="str">
        <x:v>Tam ad eşleşmesi</x:v>
      </x:c>
      <x:c r="AJ39" s="133" t="str">
        <x:v>Yüksek</x:v>
      </x:c>
      <x:c r="AK39" s="135"/>
      <x:c r="AL39" s="133" t="str">
        <x:v>Point</x:v>
      </x:c>
      <x:c r="AM39" s="133" t="str">
        <x:v>{"type": "Point", "coordinates": [40.128, 38.743]}</x:v>
      </x:c>
      <x:c r="AN39" s="133" t="str">
        <x:v>Trafo merkezi / elektrik bağlantı noktası (yaklaşık)</x:v>
      </x:c>
      <x:c r="AO39" s="133"/>
      <x:c r="AP39" s="133"/>
      <x:c r="AQ39" s="134"/>
      <x:c r="AR39" s="134"/>
      <x:c r="AS39" s="133"/>
      <x:c r="AT39" s="133" t="str">
        <x:v>https://cbs1.tarimorman.gov.tr/server/rest/services/TATUS/FeatureServer/7/query?where=HAVZA_ID%3D21+AND+%28BarajAdi%3D%27BEYHAN1%27%29&amp;outFields=OBJECTID%2CBarajAdi%2CHavzaAdi%2CHAVZA_ID%2CIl&amp;returnGeometry=true&amp;outSR=4326&amp;f=geojson</x:v>
      </x:c>
      <x:c r="AU39" s="133"/>
      <x:c r="AV39" s="133" t="str">
        <x:v>Polyline / LineString</x:v>
      </x:c>
      <x:c r="AW39" s="133" t="str">
        <x:v>https://cbs1.tarimorman.gov.tr/server/rest/services/TATUS/FeatureServer/8/query?where=HAVZA_ID%3D21&amp;geometry=40.128000%2C38.743000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39" s="133" t="str">
        <x:v>TATUS spatial query hazır; en yakın/uygun LineString seçilmeli</x:v>
      </x:c>
      <x:c r="AY39" s="133" t="str">
        <x:v>Polygon</x:v>
      </x:c>
      <x:c r="AZ39" s="133" t="str">
        <x:v>https://cbs1.tarimorman.gov.tr/server/rest/services/TATUS/FeatureServer/9/query?where=1%3D1&amp;geometry=40.128000%2C38.743000&amp;geometryType=esriGeometryPoint&amp;inSR=4326&amp;spatialRel=esriSpatialRelIntersects&amp;outFields=%2A&amp;returnGeometry=true&amp;outSR=4326&amp;resultRecordCount=5&amp;f=geojson</x:v>
      </x:c>
      <x:c r="BA39" s="133" t="str">
        <x:v>Santral popup: Su alanını göster</x:v>
      </x:c>
      <x:c r="BB39" s="133" t="str">
        <x:v>Orta-Düşük</x:v>
      </x:c>
      <x:c r="BC39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40" ht="30" customHeight="1">
      <x:c r="A40" s="100" t="n">
        <x:v>37</x:v>
      </x:c>
      <x:c r="B40" s="32" t="str">
        <x:v>BİRECİK-NİZİP HES</x:v>
      </x:c>
      <x:c r="C40" s="32" t="str">
        <x:v>Fırat Dicle</x:v>
      </x:c>
      <x:c r="D40" s="32" t="str">
        <x:v>Fırat-Dicle</x:v>
      </x:c>
      <x:c r="E40" s="34" t="n">
        <x:v>21</x:v>
      </x:c>
      <x:c r="F40" s="32" t="str">
        <x:v>https://cbs1.tarimorman.gov.tr/server/rest/services/TATUS/FeatureServer/11/query?where=ID%3D21&amp;outFields=ID%2CHAVZA_ADI%2CALAN_KM2&amp;returnGeometry=true&amp;outSR=4326&amp;f=geojson</x:v>
      </x:c>
      <x:c r="G40" s="32" t="str">
        <x:v>BİRECİK-NİZİP</x:v>
      </x:c>
      <x:c r="H40" s="32" t="str">
        <x:v>ŞANLIURFA/GAZİANTEP</x:v>
      </x:c>
      <x:c r="I40" s="36" t="n">
        <x:v>37.05</x:v>
      </x:c>
      <x:c r="J40" s="36" t="n">
        <x:v>37.89</x:v>
      </x:c>
      <x:c r="K40" s="38" t="n">
        <x:v>385</x:v>
      </x:c>
      <x:c r="L40" s="38" t="n">
        <x:v>373</x:v>
      </x:c>
      <x:c r="M40" s="32" t="str">
        <x:v>KARKAMIŞ HES</x:v>
      </x:c>
      <x:c r="N40" s="38" t="n">
        <x:v>672</x:v>
      </x:c>
      <x:c r="O40" s="38"/>
      <x:c r="P40" s="38"/>
      <x:c r="Q40" s="38"/>
      <x:c r="R40" s="38"/>
      <x:c r="S40" s="38"/>
      <x:c r="T40" s="40"/>
      <x:c r="U40" s="32" t="str">
        <x:v>eşleşme yok</x:v>
      </x:c>
      <x:c r="V40" s="32" t="str">
        <x:v>C</x:v>
      </x:c>
      <x:c r="W40" s="32" t="str">
        <x:v>https://openinframap.org/stats/area/Turkey/plants?source=hydro</x:v>
      </x:c>
      <x:c r="X40" s="32" t="str">
        <x:v>https://openinframap.org/stats/area/Turkey/plants?source=hydro</x:v>
      </x:c>
      <x:c r="Y40" s="32" t="str">
        <x:v>hes_MERKEZI_LISTESI.xlsx — trafo merkezi koordinatı (yaklaşık)</x:v>
      </x:c>
      <x:c r="Z40" s="32" t="str">
        <x:v>KARKAMIŞ HES</x:v>
      </x:c>
      <x:c r="AA40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40" s="133" t="str">
        <x:v>Trafo merkezi koordinatı ile tamamlandı</x:v>
      </x:c>
      <x:c r="AC40" s="133" t="str">
        <x:v>Trafo merkezi / elektrik bağlantı noktası (yaklaşık)</x:v>
      </x:c>
      <x:c r="AD40" s="133" t="n">
        <x:v>538</x:v>
      </x:c>
      <x:c r="AE40" s="133" t="str">
        <x:v>BİRECİK HES</x:v>
      </x:c>
      <x:c r="AF40" s="133" t="str">
        <x:v>Gaziantep</x:v>
      </x:c>
      <x:c r="AG40" s="134" t="n">
        <x:v>37.05</x:v>
      </x:c>
      <x:c r="AH40" s="134" t="n">
        <x:v>37.89</x:v>
      </x:c>
      <x:c r="AI40" s="133" t="str">
        <x:v>Kontrollü ad/alias eşleşmesi</x:v>
      </x:c>
      <x:c r="AJ40" s="133" t="str">
        <x:v>Orta-Yüksek</x:v>
      </x:c>
      <x:c r="AK40" s="135"/>
      <x:c r="AL40" s="133" t="str">
        <x:v>Point</x:v>
      </x:c>
      <x:c r="AM40" s="133" t="str">
        <x:v>{"type": "Point", "coordinates": [37.89, 37.05]}</x:v>
      </x:c>
      <x:c r="AN40" s="133" t="str">
        <x:v>Trafo merkezi / elektrik bağlantı noktası (yaklaşık)</x:v>
      </x:c>
      <x:c r="AO40" s="133"/>
      <x:c r="AP40" s="133"/>
      <x:c r="AQ40" s="134"/>
      <x:c r="AR40" s="134"/>
      <x:c r="AS40" s="133"/>
      <x:c r="AT40" s="133" t="str">
        <x:v>https://cbs1.tarimorman.gov.tr/server/rest/services/TATUS/FeatureServer/7/query?where=HAVZA_ID%3D21+AND+%28BarajAdi%3D%27B%C4%B0REC%C4%B0K-N%C4%B0Z%C4%B0P%27%29&amp;outFields=OBJECTID%2CBarajAdi%2CHavzaAdi%2CHAVZA_ID%2CIl&amp;returnGeometry=true&amp;outSR=4326&amp;f=geojson</x:v>
      </x:c>
      <x:c r="AU40" s="133"/>
      <x:c r="AV40" s="133" t="str">
        <x:v>Polyline / LineString</x:v>
      </x:c>
      <x:c r="AW40" s="133" t="str">
        <x:v>https://cbs1.tarimorman.gov.tr/server/rest/services/TATUS/FeatureServer/8/query?where=HAVZA_ID%3D21&amp;geometry=37.890000%2C37.050000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0" s="133" t="str">
        <x:v>TATUS spatial query hazır; en yakın/uygun LineString seçilmeli</x:v>
      </x:c>
      <x:c r="AY40" s="133" t="str">
        <x:v>Polygon</x:v>
      </x:c>
      <x:c r="AZ40" s="133" t="str">
        <x:v>https://cbs1.tarimorman.gov.tr/server/rest/services/TATUS/FeatureServer/9/query?where=1%3D1&amp;geometry=37.890000%2C37.050000&amp;geometryType=esriGeometryPoint&amp;inSR=4326&amp;spatialRel=esriSpatialRelIntersects&amp;outFields=%2A&amp;returnGeometry=true&amp;outSR=4326&amp;resultRecordCount=5&amp;f=geojson</x:v>
      </x:c>
      <x:c r="BA40" s="133" t="str">
        <x:v>Santral popup: Su alanını göster</x:v>
      </x:c>
      <x:c r="BB40" s="133" t="str">
        <x:v>Orta-Düşük</x:v>
      </x:c>
      <x:c r="BC40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41" ht="30" customHeight="1">
      <x:c r="A41" s="100" t="n">
        <x:v>38</x:v>
      </x:c>
      <x:c r="B41" s="32" t="str">
        <x:v>BOĞAZKÖY HES</x:v>
      </x:c>
      <x:c r="C41" s="32" t="str">
        <x:v>Marmara</x:v>
      </x:c>
      <x:c r="D41" s="32" t="str">
        <x:v>Marmara</x:v>
      </x:c>
      <x:c r="E41" s="34" t="n">
        <x:v>2</x:v>
      </x:c>
      <x:c r="F41" s="32" t="str">
        <x:v>https://cbs1.tarimorman.gov.tr/server/rest/services/TATUS/FeatureServer/11/query?where=ID%3D2&amp;outFields=ID%2CHAVZA_ADI%2CALAN_KM2&amp;returnGeometry=true&amp;outSR=4326&amp;f=geojson</x:v>
      </x:c>
      <x:c r="G41" s="32" t="str">
        <x:v>BOĞAZKÖY</x:v>
      </x:c>
      <x:c r="H41" s="32" t="str">
        <x:v>BURSA</x:v>
      </x:c>
      <x:c r="I41" s="36"/>
      <x:c r="J41" s="36"/>
      <x:c r="K41" s="38" t="n">
        <x:v>266.5</x:v>
      </x:c>
      <x:c r="L41" s="38" t="n">
        <x:v>255</x:v>
      </x:c>
      <x:c r="M41" s="32"/>
      <x:c r="N41" s="38" t="n">
        <x:v>10.6</x:v>
      </x:c>
      <x:c r="O41" s="38" t="n">
        <x:v>69.5</x:v>
      </x:c>
      <x:c r="P41" s="38" t="n">
        <x:v>38.91</x:v>
      </x:c>
      <x:c r="Q41" s="38" t="n">
        <x:v>8.06</x:v>
      </x:c>
      <x:c r="R41" s="38" t="n">
        <x:v>11.73</x:v>
      </x:c>
      <x:c r="S41" s="38" t="n">
        <x:v>0.49</x:v>
      </x:c>
      <x:c r="T41" s="40" t="n">
        <x:v>46278.81434027778</x:v>
      </x:c>
      <x:c r="U41" s="32" t="str">
        <x:v>exact</x:v>
      </x:c>
      <x:c r="V41" s="32" t="str">
        <x:v>B</x:v>
      </x:c>
      <x:c r="W41" s="32" t="str">
        <x:v>Yüklü Debi_ve_Kurulu_Guc-13092026.xlsx</x:v>
      </x:c>
      <x:c r="X41" s="32" t="str">
        <x:v>Yüklü Debi_ve_Kurulu_Guc-13092026.xlsx</x:v>
      </x:c>
      <x:c r="Y41" s="32"/>
      <x:c r="Z41" s="32" t="str">
        <x:v>10</x:v>
      </x:c>
      <x:c r="AA41" s="101" t="str">
        <x:v>Kaskat alanında kaynak değeri '10' (belirsiz/sentinel); Koordinat güvenilir açık kaynaktan doğrulanamadı</x:v>
      </x:c>
      <x:c r="AB41" s="133" t="str">
        <x:v>Koordinat eksik</x:v>
      </x:c>
      <x:c r="AC41" s="133" t="str">
        <x:v>—</x:v>
      </x:c>
      <x:c r="AD41" s="133"/>
      <x:c r="AE41" s="133"/>
      <x:c r="AF41" s="133"/>
      <x:c r="AG41" s="134"/>
      <x:c r="AH41" s="134"/>
      <x:c r="AI41" s="133"/>
      <x:c r="AJ41" s="133"/>
      <x:c r="AK41" s="135"/>
      <x:c r="AL41" s="133" t="str">
        <x:v>Point</x:v>
      </x:c>
      <x:c r="AM41" s="133"/>
      <x:c r="AN41" s="133" t="str">
        <x:v>Koordinat yok</x:v>
      </x:c>
      <x:c r="AO41" s="133"/>
      <x:c r="AP41" s="133"/>
      <x:c r="AQ41" s="134"/>
      <x:c r="AR41" s="134"/>
      <x:c r="AS41" s="133"/>
      <x:c r="AT41" s="133" t="str">
        <x:v>https://cbs1.tarimorman.gov.tr/server/rest/services/TATUS/FeatureServer/7/query?where=HAVZA_ID%3D2+AND+%28BarajAdi%3D%27BO%C4%9EAZK%C3%96Y%27%29&amp;outFields=OBJECTID%2CBarajAdi%2CHavzaAdi%2CHAVZA_ID%2CIl&amp;returnGeometry=true&amp;outSR=4326&amp;f=geojson</x:v>
      </x:c>
      <x:c r="AU41" s="133"/>
      <x:c r="AV41" s="133" t="str">
        <x:v>Polyline / LineString</x:v>
      </x:c>
      <x:c r="AW41" s="133"/>
      <x:c r="AX41" s="133" t="str">
        <x:v>Koordinat yok; spatial eşleme yapılamadı</x:v>
      </x:c>
      <x:c r="AY41" s="133" t="str">
        <x:v>Polygon</x:v>
      </x:c>
      <x:c r="AZ41" s="133"/>
      <x:c r="BA41" s="133" t="str">
        <x:v>Santral popup: Su alanını göster</x:v>
      </x:c>
      <x:c r="BB41" s="133" t="str">
        <x:v>Yok</x:v>
      </x:c>
      <x:c r="BC41" s="133" t="str">
        <x:v>TATUS baraj point doğrudan eşleşmesi bu çalışma kitabında çözülmedi; sorgu URL'si eklendi; Koordinat eksik olduğu için akarsu ve su toplama alanı spatial sorgusu üretilemedi</x:v>
      </x:c>
    </x:row>
    <x:row r="42" ht="30" customHeight="1">
      <x:c r="A42" s="100" t="n">
        <x:v>39</x:v>
      </x:c>
      <x:c r="B42" s="32" t="str">
        <x:v>BORÇKA HES</x:v>
      </x:c>
      <x:c r="C42" s="32" t="str">
        <x:v>Çoruh</x:v>
      </x:c>
      <x:c r="D42" s="32" t="str">
        <x:v>Çoruh</x:v>
      </x:c>
      <x:c r="E42" s="34" t="n">
        <x:v>23</x:v>
      </x:c>
      <x:c r="F42" s="32" t="str">
        <x:v>https://cbs1.tarimorman.gov.tr/server/rest/services/TATUS/FeatureServer/11/query?where=ID%3D23&amp;outFields=ID%2CHAVZA_ADI%2CALAN_KM2&amp;returnGeometry=true&amp;outSR=4326&amp;f=geojson</x:v>
      </x:c>
      <x:c r="G42" s="32" t="str">
        <x:v>BORÇKA</x:v>
      </x:c>
      <x:c r="H42" s="32" t="str">
        <x:v>ARTVİN</x:v>
      </x:c>
      <x:c r="I42" s="36" t="n">
        <x:v>41.351</x:v>
      </x:c>
      <x:c r="J42" s="36" t="n">
        <x:v>41.683</x:v>
      </x:c>
      <x:c r="K42" s="38" t="n">
        <x:v>185</x:v>
      </x:c>
      <x:c r="L42" s="38" t="n">
        <x:v>170</x:v>
      </x:c>
      <x:c r="M42" s="32" t="str">
        <x:v>MURATLI HES</x:v>
      </x:c>
      <x:c r="N42" s="38" t="n">
        <x:v>301</x:v>
      </x:c>
      <x:c r="O42" s="38"/>
      <x:c r="P42" s="38"/>
      <x:c r="Q42" s="38"/>
      <x:c r="R42" s="38"/>
      <x:c r="S42" s="38"/>
      <x:c r="T42" s="40"/>
      <x:c r="U42" s="32" t="str">
        <x:v>eşleşme yok</x:v>
      </x:c>
      <x:c r="V42" s="32" t="str">
        <x:v>C</x:v>
      </x:c>
      <x:c r="W42" s="32" t="str">
        <x:v>https://openinframap.org/stats/area/Turkey/plants?source=hydro</x:v>
      </x:c>
      <x:c r="X42" s="32" t="str">
        <x:v>https://openinframap.org/stats/area/Turkey/plants?source=hydro</x:v>
      </x:c>
      <x:c r="Y42" s="32" t="str">
        <x:v>hes_MERKEZI_LISTESI.xlsx — trafo merkezi koordinatı (yaklaşık)</x:v>
      </x:c>
      <x:c r="Z42" s="32" t="str">
        <x:v>MURATLI HES</x:v>
      </x:c>
      <x:c r="AA42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42" s="133" t="str">
        <x:v>Trafo merkezi koordinatı ile tamamlandı</x:v>
      </x:c>
      <x:c r="AC42" s="133" t="str">
        <x:v>Trafo merkezi / elektrik bağlantı noktası (yaklaşık)</x:v>
      </x:c>
      <x:c r="AD42" s="133" t="n">
        <x:v>280</x:v>
      </x:c>
      <x:c r="AE42" s="133" t="str">
        <x:v>BORÇKA HES</x:v>
      </x:c>
      <x:c r="AF42" s="133" t="str">
        <x:v>Artvin</x:v>
      </x:c>
      <x:c r="AG42" s="134" t="n">
        <x:v>41.351</x:v>
      </x:c>
      <x:c r="AH42" s="134" t="n">
        <x:v>41.683</x:v>
      </x:c>
      <x:c r="AI42" s="133" t="str">
        <x:v>Tam ad eşleşmesi</x:v>
      </x:c>
      <x:c r="AJ42" s="133" t="str">
        <x:v>Yüksek</x:v>
      </x:c>
      <x:c r="AK42" s="135"/>
      <x:c r="AL42" s="133" t="str">
        <x:v>Point</x:v>
      </x:c>
      <x:c r="AM42" s="133" t="str">
        <x:v>{"type": "Point", "coordinates": [41.683, 41.351]}</x:v>
      </x:c>
      <x:c r="AN42" s="133" t="str">
        <x:v>Trafo merkezi / elektrik bağlantı noktası (yaklaşık)</x:v>
      </x:c>
      <x:c r="AO42" s="133"/>
      <x:c r="AP42" s="133"/>
      <x:c r="AQ42" s="134"/>
      <x:c r="AR42" s="134"/>
      <x:c r="AS42" s="133"/>
      <x:c r="AT42" s="133" t="str">
        <x:v>https://cbs1.tarimorman.gov.tr/server/rest/services/TATUS/FeatureServer/7/query?where=HAVZA_ID%3D23+AND+%28BarajAdi%3D%27BOR%C3%87KA%27%29&amp;outFields=OBJECTID%2CBarajAdi%2CHavzaAdi%2CHAVZA_ID%2CIl&amp;returnGeometry=true&amp;outSR=4326&amp;f=geojson</x:v>
      </x:c>
      <x:c r="AU42" s="133" t="str">
        <x:v>Çoruh</x:v>
      </x:c>
      <x:c r="AV42" s="133" t="str">
        <x:v>Polyline / LineString</x:v>
      </x:c>
      <x:c r="AW42" s="133" t="str">
        <x:v>https://cbs1.tarimorman.gov.tr/server/rest/services/TATUS/FeatureServer/8/query?where=HAVZA_ID%3D23&amp;geometry=41.683000%2C41.351000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2" s="133" t="str">
        <x:v>Havza ana akarsuyu ön-eşleme; TATUS spatial query ile doğrulanmalı</x:v>
      </x:c>
      <x:c r="AY42" s="133" t="str">
        <x:v>Polygon</x:v>
      </x:c>
      <x:c r="AZ42" s="133" t="str">
        <x:v>https://cbs1.tarimorman.gov.tr/server/rest/services/TATUS/FeatureServer/9/query?where=1%3D1&amp;geometry=41.683000%2C41.351000&amp;geometryType=esriGeometryPoint&amp;inSR=4326&amp;spatialRel=esriSpatialRelIntersects&amp;outFields=%2A&amp;returnGeometry=true&amp;outSR=4326&amp;resultRecordCount=5&amp;f=geojson</x:v>
      </x:c>
      <x:c r="BA42" s="133" t="str">
        <x:v>Santral popup: Su alanını göster</x:v>
      </x:c>
      <x:c r="BB42" s="133" t="str">
        <x:v>Orta-Düşük</x:v>
      </x:c>
      <x:c r="BC4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43" ht="30" customHeight="1">
      <x:c r="A43" s="100" t="n">
        <x:v>40</x:v>
      </x:c>
      <x:c r="B43" s="32" t="str">
        <x:v>BOYABAT HES</x:v>
      </x:c>
      <x:c r="C43" s="32" t="str">
        <x:v>Kızılırmak</x:v>
      </x:c>
      <x:c r="D43" s="32" t="str">
        <x:v>Kızılırmak</x:v>
      </x:c>
      <x:c r="E43" s="34" t="n">
        <x:v>15</x:v>
      </x:c>
      <x:c r="F43" s="32" t="str">
        <x:v>https://cbs1.tarimorman.gov.tr/server/rest/services/TATUS/FeatureServer/11/query?where=ID%3D15&amp;outFields=ID%2CHAVZA_ADI%2CALAN_KM2&amp;returnGeometry=true&amp;outSR=4326&amp;f=geojson</x:v>
      </x:c>
      <x:c r="G43" s="32" t="str">
        <x:v>BOYABAT</x:v>
      </x:c>
      <x:c r="H43" s="32" t="str">
        <x:v>SİNOP</x:v>
      </x:c>
      <x:c r="I43" s="36" t="n">
        <x:v>41.33471</x:v>
      </x:c>
      <x:c r="J43" s="36" t="n">
        <x:v>34.99575</x:v>
      </x:c>
      <x:c r="K43" s="38" t="n">
        <x:v>330</x:v>
      </x:c>
      <x:c r="L43" s="38" t="n">
        <x:v>305</x:v>
      </x:c>
      <x:c r="M43" s="32" t="str">
        <x:v>ALTINKAYA HES</x:v>
      </x:c>
      <x:c r="N43" s="38" t="n">
        <x:v>10</x:v>
      </x:c>
      <x:c r="O43" s="38" t="n">
        <x:v>10</x:v>
      </x:c>
      <x:c r="P43" s="38" t="n">
        <x:v>3557</x:v>
      </x:c>
      <x:c r="Q43" s="38" t="n">
        <x:v>2155</x:v>
      </x:c>
      <x:c r="R43" s="38" t="n">
        <x:v>901.26</x:v>
      </x:c>
      <x:c r="S43" s="38" t="n">
        <x:v>304.17</x:v>
      </x:c>
      <x:c r="T43" s="40" t="n">
        <x:v>46278.81434027778</x:v>
      </x:c>
      <x:c r="U43" s="32" t="str">
        <x:v>exact</x:v>
      </x:c>
      <x:c r="V43" s="32" t="str">
        <x:v>A</x:v>
      </x:c>
      <x:c r="W43" s="32" t="str">
        <x:v>Yüklü Debi_ve_Kurulu_Guc-13092026.xlsx</x:v>
      </x:c>
      <x:c r="X43" s="32" t="str">
        <x:v>Yüklü Debi_ve_Kurulu_Guc-13092026.xlsx</x:v>
      </x:c>
      <x:c r="Y43" s="32" t="str">
        <x:v>https://cbs1.tarimorman.gov.tr/server/rest/services/TATUS/FeatureServer/7</x:v>
      </x:c>
      <x:c r="Z43" s="32" t="str">
        <x:v>ALTINKAYA HES</x:v>
      </x:c>
      <x:c r="AA43" s="101"/>
      <x:c r="AB43" s="133" t="str">
        <x:v>Doğrulanmış koordinat mevcut</x:v>
      </x:c>
      <x:c r="AC43" s="133" t="str">
        <x:v>HES / baraj noktası</x:v>
      </x:c>
      <x:c r="AD43" s="133" t="n">
        <x:v>703</x:v>
      </x:c>
      <x:c r="AE43" s="133" t="str">
        <x:v>BOYABAT HES</x:v>
      </x:c>
      <x:c r="AF43" s="133" t="str">
        <x:v>Sinop</x:v>
      </x:c>
      <x:c r="AG43" s="134" t="n">
        <x:v>41.344</x:v>
      </x:c>
      <x:c r="AH43" s="134" t="n">
        <x:v>34.997</x:v>
      </x:c>
      <x:c r="AI43" s="133" t="str">
        <x:v>Tam ad eşleşmesi</x:v>
      </x:c>
      <x:c r="AJ43" s="133" t="str">
        <x:v>Yüksek</x:v>
      </x:c>
      <x:c r="AK43" s="135" t="n">
        <x:v>1.038</x:v>
      </x:c>
      <x:c r="AL43" s="133" t="str">
        <x:v>Point</x:v>
      </x:c>
      <x:c r="AM43" s="133" t="str">
        <x:v>{"type": "Point", "coordinates": [34.99575, 41.33471]}</x:v>
      </x:c>
      <x:c r="AN43" s="133" t="str">
        <x:v>TATUS Baraj Gözlem Point</x:v>
      </x:c>
      <x:c r="AO43" s="133" t="str">
        <x:v>BOYABAT</x:v>
      </x:c>
      <x:c r="AP43" s="133" t="n">
        <x:v>1</x:v>
      </x:c>
      <x:c r="AQ43" s="134" t="n">
        <x:v>41.33471</x:v>
      </x:c>
      <x:c r="AR43" s="134" t="n">
        <x:v>34.99575</x:v>
      </x:c>
      <x:c r="AS43" s="133" t="str">
        <x:v>{"type": "Point", "coordinates": [34.99575, 41.33471]}</x:v>
      </x:c>
      <x:c r="AT43" s="133" t="str">
        <x:v>https://cbs1.tarimorman.gov.tr/server/rest/services/TATUS/FeatureServer/7/query?where=HAVZA_ID%3D15+AND+%28BarajAdi%3D%27BOYABAT%27%29&amp;outFields=OBJECTID%2CBarajAdi%2CHavzaAdi%2CHAVZA_ID%2CIl&amp;returnGeometry=true&amp;outSR=4326&amp;f=geojson</x:v>
      </x:c>
      <x:c r="AU43" s="133" t="str">
        <x:v>Kızılırmak</x:v>
      </x:c>
      <x:c r="AV43" s="133" t="str">
        <x:v>Polyline / LineString</x:v>
      </x:c>
      <x:c r="AW43" s="133" t="str">
        <x:v>https://cbs1.tarimorman.gov.tr/server/rest/services/TATUS/FeatureServer/8/query?where=HAVZA_ID%3D15&amp;geometry=34.995750%2C41.334710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3" s="133" t="str">
        <x:v>Havza ana akarsuyu ön-eşleme; TATUS spatial query ile doğrulanmalı</x:v>
      </x:c>
      <x:c r="AY43" s="133" t="str">
        <x:v>Polygon</x:v>
      </x:c>
      <x:c r="AZ43" s="133" t="str">
        <x:v>https://cbs1.tarimorman.gov.tr/server/rest/services/TATUS/FeatureServer/9/query?where=1%3D1&amp;geometry=34.995750%2C41.334710&amp;geometryType=esriGeometryPoint&amp;inSR=4326&amp;spatialRel=esriSpatialRelIntersects&amp;outFields=%2A&amp;returnGeometry=true&amp;outSR=4326&amp;resultRecordCount=5&amp;f=geojson</x:v>
      </x:c>
      <x:c r="BA43" s="133" t="str">
        <x:v>Santral popup: Su alanını göster</x:v>
      </x:c>
      <x:c r="BB43" s="133" t="str">
        <x:v>Yüksek</x:v>
      </x:c>
      <x:c r="BC43" s="133"/>
    </x:row>
    <x:row r="44" ht="30" customHeight="1">
      <x:c r="A44" s="100" t="n">
        <x:v>41</x:v>
      </x:c>
      <x:c r="B44" s="32" t="str">
        <x:v>BOZKIR ETEK HES</x:v>
      </x:c>
      <x:c r="C44" s="32" t="str">
        <x:v>Konya Kapalı</x:v>
      </x:c>
      <x:c r="D44" s="32" t="str">
        <x:v>Konya Kapalı</x:v>
      </x:c>
      <x:c r="E44" s="34" t="n">
        <x:v>16</x:v>
      </x:c>
      <x:c r="F44" s="32" t="str">
        <x:v>https://cbs1.tarimorman.gov.tr/server/rest/services/TATUS/FeatureServer/11/query?where=ID%3D16&amp;outFields=ID%2CHAVZA_ADI%2CALAN_KM2&amp;returnGeometry=true&amp;outSR=4326&amp;f=geojson</x:v>
      </x:c>
      <x:c r="G44" s="32" t="str">
        <x:v>BOZKIR ETEK</x:v>
      </x:c>
      <x:c r="H44" s="32" t="str">
        <x:v>KONYA</x:v>
      </x:c>
      <x:c r="I44" s="36"/>
      <x:c r="J44" s="36"/>
      <x:c r="K44" s="38" t="n">
        <x:v>1353.58</x:v>
      </x:c>
      <x:c r="L44" s="38" t="n">
        <x:v>1275</x:v>
      </x:c>
      <x:c r="M44" s="32"/>
      <x:c r="N44" s="38" t="n">
        <x:v>18.838</x:v>
      </x:c>
      <x:c r="O44" s="38"/>
      <x:c r="P44" s="38"/>
      <x:c r="Q44" s="38"/>
      <x:c r="R44" s="38"/>
      <x:c r="S44" s="38"/>
      <x:c r="T44" s="40"/>
      <x:c r="U44" s="32" t="str">
        <x:v>eşleşme yok</x:v>
      </x:c>
      <x:c r="V44" s="32" t="str">
        <x:v>C</x:v>
      </x:c>
      <x:c r="W44" s="32" t="str">
        <x:v>https://hesiad.org.tr/wp-content/uploads/2025/05/15.01.2025-2.pdf</x:v>
      </x:c>
      <x:c r="X44" s="32" t="str">
        <x:v>https://hesiad.org.tr/wp-content/uploads/2025/05/15.01.2025-2.pdf</x:v>
      </x:c>
      <x:c r="Y44" s="32"/>
      <x:c r="Z44" s="32" t="str">
        <x:v>10</x:v>
      </x:c>
      <x:c r="AA44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44" s="133" t="str">
        <x:v>Koordinat eksik</x:v>
      </x:c>
      <x:c r="AC44" s="133" t="str">
        <x:v>—</x:v>
      </x:c>
      <x:c r="AD44" s="133"/>
      <x:c r="AE44" s="133"/>
      <x:c r="AF44" s="133"/>
      <x:c r="AG44" s="134"/>
      <x:c r="AH44" s="134"/>
      <x:c r="AI44" s="133"/>
      <x:c r="AJ44" s="133"/>
      <x:c r="AK44" s="135"/>
      <x:c r="AL44" s="133" t="str">
        <x:v>Point</x:v>
      </x:c>
      <x:c r="AM44" s="133"/>
      <x:c r="AN44" s="133" t="str">
        <x:v>Koordinat yok</x:v>
      </x:c>
      <x:c r="AO44" s="133"/>
      <x:c r="AP44" s="133"/>
      <x:c r="AQ44" s="134"/>
      <x:c r="AR44" s="134"/>
      <x:c r="AS44" s="133"/>
      <x:c r="AT44" s="133" t="str">
        <x:v>https://cbs1.tarimorman.gov.tr/server/rest/services/TATUS/FeatureServer/7/query?where=HAVZA_ID%3D16+AND+%28BarajAdi%3D%27BOZKIR+ETEK%27%29&amp;outFields=OBJECTID%2CBarajAdi%2CHavzaAdi%2CHAVZA_ID%2CIl&amp;returnGeometry=true&amp;outSR=4326&amp;f=geojson</x:v>
      </x:c>
      <x:c r="AU44" s="133"/>
      <x:c r="AV44" s="133" t="str">
        <x:v>Polyline / LineString</x:v>
      </x:c>
      <x:c r="AW44" s="133"/>
      <x:c r="AX44" s="133" t="str">
        <x:v>Koordinat yok; spatial eşleme yapılamadı</x:v>
      </x:c>
      <x:c r="AY44" s="133" t="str">
        <x:v>Polygon</x:v>
      </x:c>
      <x:c r="AZ44" s="133"/>
      <x:c r="BA44" s="133" t="str">
        <x:v>Santral popup: Su alanını göster</x:v>
      </x:c>
      <x:c r="BB44" s="133" t="str">
        <x:v>Yok</x:v>
      </x:c>
      <x:c r="BC44" s="133" t="str">
        <x:v>TATUS baraj point doğrudan eşleşmesi bu çalışma kitabında çözülmedi; sorgu URL'si eklendi; Koordinat eksik olduğu için akarsu ve su toplama alanı spatial sorgusu üretilemedi</x:v>
      </x:c>
    </x:row>
    <x:row r="45" ht="30" customHeight="1">
      <x:c r="A45" s="100" t="n">
        <x:v>42</x:v>
      </x:c>
      <x:c r="B45" s="32" t="str">
        <x:v>BURÇBENDİ HES</x:v>
      </x:c>
      <x:c r="C45" s="32" t="str">
        <x:v>Fırat Dicle</x:v>
      </x:c>
      <x:c r="D45" s="32" t="str">
        <x:v>Fırat-Dicle</x:v>
      </x:c>
      <x:c r="E45" s="34" t="n">
        <x:v>21</x:v>
      </x:c>
      <x:c r="F45" s="32" t="str">
        <x:v>https://cbs1.tarimorman.gov.tr/server/rest/services/TATUS/FeatureServer/11/query?where=ID%3D21&amp;outFields=ID%2CHAVZA_ADI%2CALAN_KM2&amp;returnGeometry=true&amp;outSR=4326&amp;f=geojson</x:v>
      </x:c>
      <x:c r="G45" s="32" t="str">
        <x:v>BURÇBENDİ</x:v>
      </x:c>
      <x:c r="H45" s="32" t="str">
        <x:v>ADIYAMAN</x:v>
      </x:c>
      <x:c r="I45" s="36"/>
      <x:c r="J45" s="36"/>
      <x:c r="K45" s="38" t="n">
        <x:v>421</x:v>
      </x:c>
      <x:c r="L45" s="38" t="n">
        <x:v>416.5</x:v>
      </x:c>
      <x:c r="M45" s="32"/>
      <x:c r="N45" s="38" t="n">
        <x:v>27.33</x:v>
      </x:c>
      <x:c r="O45" s="38"/>
      <x:c r="P45" s="38"/>
      <x:c r="Q45" s="38"/>
      <x:c r="R45" s="38"/>
      <x:c r="S45" s="38"/>
      <x:c r="T45" s="40"/>
      <x:c r="U45" s="32" t="str">
        <x:v>eşleşme yok</x:v>
      </x:c>
      <x:c r="V45" s="32" t="str">
        <x:v>C</x:v>
      </x:c>
      <x:c r="W45" s="32" t="str">
        <x:v>https://www.akenerji.com.tr/santrallerimiz</x:v>
      </x:c>
      <x:c r="X45" s="32" t="str">
        <x:v>https://openinframap.org/stats/area/Turkey/plants?source=hydro</x:v>
      </x:c>
      <x:c r="Y45" s="32"/>
      <x:c r="Z45" s="32" t="str">
        <x:v>10</x:v>
      </x:c>
      <x:c r="AA45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45" s="133" t="str">
        <x:v>Koordinat eksik</x:v>
      </x:c>
      <x:c r="AC45" s="133" t="str">
        <x:v>—</x:v>
      </x:c>
      <x:c r="AD45" s="133"/>
      <x:c r="AE45" s="133"/>
      <x:c r="AF45" s="133"/>
      <x:c r="AG45" s="134"/>
      <x:c r="AH45" s="134"/>
      <x:c r="AI45" s="133"/>
      <x:c r="AJ45" s="133"/>
      <x:c r="AK45" s="135"/>
      <x:c r="AL45" s="133" t="str">
        <x:v>Point</x:v>
      </x:c>
      <x:c r="AM45" s="133"/>
      <x:c r="AN45" s="133" t="str">
        <x:v>Koordinat yok</x:v>
      </x:c>
      <x:c r="AO45" s="133"/>
      <x:c r="AP45" s="133"/>
      <x:c r="AQ45" s="134"/>
      <x:c r="AR45" s="134"/>
      <x:c r="AS45" s="133"/>
      <x:c r="AT45" s="133" t="str">
        <x:v>https://cbs1.tarimorman.gov.tr/server/rest/services/TATUS/FeatureServer/7/query?where=HAVZA_ID%3D21+AND+%28BarajAdi%3D%27BUR%C3%87BEND%C4%B0%27%29&amp;outFields=OBJECTID%2CBarajAdi%2CHavzaAdi%2CHAVZA_ID%2CIl&amp;returnGeometry=true&amp;outSR=4326&amp;f=geojson</x:v>
      </x:c>
      <x:c r="AU45" s="133"/>
      <x:c r="AV45" s="133" t="str">
        <x:v>Polyline / LineString</x:v>
      </x:c>
      <x:c r="AW45" s="133"/>
      <x:c r="AX45" s="133" t="str">
        <x:v>Koordinat yok; spatial eşleme yapılamadı</x:v>
      </x:c>
      <x:c r="AY45" s="133" t="str">
        <x:v>Polygon</x:v>
      </x:c>
      <x:c r="AZ45" s="133"/>
      <x:c r="BA45" s="133" t="str">
        <x:v>Santral popup: Su alanını göster</x:v>
      </x:c>
      <x:c r="BB45" s="133" t="str">
        <x:v>Yok</x:v>
      </x:c>
      <x:c r="BC45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46" ht="30" customHeight="1">
      <x:c r="A46" s="100" t="n">
        <x:v>43</x:v>
      </x:c>
      <x:c r="B46" s="32" t="str">
        <x:v>BÜYÜKDÜZ HES</x:v>
      </x:c>
      <x:c r="C46" s="32" t="str">
        <x:v>Doğu Karadeniz</x:v>
      </x:c>
      <x:c r="D46" s="32" t="str">
        <x:v>Doğu Karadeniz</x:v>
      </x:c>
      <x:c r="E46" s="34" t="n">
        <x:v>22</x:v>
      </x:c>
      <x:c r="F46" s="32" t="str">
        <x:v>https://cbs1.tarimorman.gov.tr/server/rest/services/TATUS/FeatureServer/11/query?where=ID%3D22&amp;outFields=ID%2CHAVZA_ADI%2CALAN_KM2&amp;returnGeometry=true&amp;outSR=4326&amp;f=geojson</x:v>
      </x:c>
      <x:c r="G46" s="32" t="str">
        <x:v>BÜYÜKDÜZ</x:v>
      </x:c>
      <x:c r="H46" s="32" t="str">
        <x:v>GÜMÜŞHANE</x:v>
      </x:c>
      <x:c r="I46" s="36" t="n">
        <x:v>40.634</x:v>
      </x:c>
      <x:c r="J46" s="36" t="n">
        <x:v>39.113</x:v>
      </x:c>
      <x:c r="K46" s="38" t="n">
        <x:v>1189.5</x:v>
      </x:c>
      <x:c r="L46" s="38" t="n">
        <x:v>1182.7</x:v>
      </x:c>
      <x:c r="M46" s="32"/>
      <x:c r="N46" s="38" t="n">
        <x:v>68.9</x:v>
      </x:c>
      <x:c r="O46" s="38"/>
      <x:c r="P46" s="38"/>
      <x:c r="Q46" s="38"/>
      <x:c r="R46" s="38"/>
      <x:c r="S46" s="38"/>
      <x:c r="T46" s="40"/>
      <x:c r="U46" s="32" t="str">
        <x:v>eşleşme yok</x:v>
      </x:c>
      <x:c r="V46" s="32" t="str">
        <x:v>C</x:v>
      </x:c>
      <x:c r="W46" s="32" t="str">
        <x:v>https://financialfilings.com/filings/ayen-enerji-as/annual-report/2026/32909967/</x:v>
      </x:c>
      <x:c r="X46" s="32" t="str">
        <x:v>https://financialfilings.com/filings/ayen-enerji-as/annual-report/2026/32909967/</x:v>
      </x:c>
      <x:c r="Y46" s="32" t="str">
        <x:v>hes_MERKEZI_LISTESI.xlsx — trafo merkezi koordinatı (yaklaşık)</x:v>
      </x:c>
      <x:c r="Z46" s="32" t="str">
        <x:v>10</x:v>
      </x:c>
      <x:c r="AA46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46" s="133" t="str">
        <x:v>Trafo merkezi koordinatı ile tamamlandı</x:v>
      </x:c>
      <x:c r="AC46" s="133" t="str">
        <x:v>Trafo merkezi / elektrik bağlantı noktası (yaklaşık)</x:v>
      </x:c>
      <x:c r="AD46" s="133" t="n">
        <x:v>843</x:v>
      </x:c>
      <x:c r="AE46" s="133" t="str">
        <x:v>BÜYÜKDÜZ HES</x:v>
      </x:c>
      <x:c r="AF46" s="133" t="str">
        <x:v>Gümüşhane</x:v>
      </x:c>
      <x:c r="AG46" s="134" t="n">
        <x:v>40.634</x:v>
      </x:c>
      <x:c r="AH46" s="134" t="n">
        <x:v>39.113</x:v>
      </x:c>
      <x:c r="AI46" s="133" t="str">
        <x:v>Tam ad eşleşmesi</x:v>
      </x:c>
      <x:c r="AJ46" s="133" t="str">
        <x:v>Yüksek</x:v>
      </x:c>
      <x:c r="AK46" s="135"/>
      <x:c r="AL46" s="133" t="str">
        <x:v>Point</x:v>
      </x:c>
      <x:c r="AM46" s="133" t="str">
        <x:v>{"type": "Point", "coordinates": [39.113, 40.634]}</x:v>
      </x:c>
      <x:c r="AN46" s="133" t="str">
        <x:v>Trafo merkezi / elektrik bağlantı noktası (yaklaşık)</x:v>
      </x:c>
      <x:c r="AO46" s="133"/>
      <x:c r="AP46" s="133"/>
      <x:c r="AQ46" s="134"/>
      <x:c r="AR46" s="134"/>
      <x:c r="AS46" s="133"/>
      <x:c r="AT46" s="133" t="str">
        <x:v>https://cbs1.tarimorman.gov.tr/server/rest/services/TATUS/FeatureServer/7/query?where=HAVZA_ID%3D22+AND+%28BarajAdi%3D%27B%C3%9CY%C3%9CKD%C3%9CZ%27%29&amp;outFields=OBJECTID%2CBarajAdi%2CHavzaAdi%2CHAVZA_ID%2CIl&amp;returnGeometry=true&amp;outSR=4326&amp;f=geojson</x:v>
      </x:c>
      <x:c r="AU46" s="133"/>
      <x:c r="AV46" s="133" t="str">
        <x:v>Polyline / LineString</x:v>
      </x:c>
      <x:c r="AW46" s="133" t="str">
        <x:v>https://cbs1.tarimorman.gov.tr/server/rest/services/TATUS/FeatureServer/8/query?where=HAVZA_ID%3D22&amp;geometry=39.113000%2C40.634000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6" s="133" t="str">
        <x:v>TATUS spatial query hazır; en yakın/uygun LineString seçilmeli</x:v>
      </x:c>
      <x:c r="AY46" s="133" t="str">
        <x:v>Polygon</x:v>
      </x:c>
      <x:c r="AZ46" s="133" t="str">
        <x:v>https://cbs1.tarimorman.gov.tr/server/rest/services/TATUS/FeatureServer/9/query?where=1%3D1&amp;geometry=39.113000%2C40.634000&amp;geometryType=esriGeometryPoint&amp;inSR=4326&amp;spatialRel=esriSpatialRelIntersects&amp;outFields=%2A&amp;returnGeometry=true&amp;outSR=4326&amp;resultRecordCount=5&amp;f=geojson</x:v>
      </x:c>
      <x:c r="BA46" s="133" t="str">
        <x:v>Santral popup: Su alanını göster</x:v>
      </x:c>
      <x:c r="BB46" s="133" t="str">
        <x:v>Orta-Düşük</x:v>
      </x:c>
      <x:c r="BC46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47" ht="30" customHeight="1">
      <x:c r="A47" s="100" t="n">
        <x:v>44</x:v>
      </x:c>
      <x:c r="B47" s="32" t="str">
        <x:v>BÜYÜK KARAÇAY HES</x:v>
      </x:c>
      <x:c r="C47" s="32" t="str">
        <x:v>Asi</x:v>
      </x:c>
      <x:c r="D47" s="32" t="str">
        <x:v>Asi</x:v>
      </x:c>
      <x:c r="E47" s="34" t="n">
        <x:v>19</x:v>
      </x:c>
      <x:c r="F47" s="32" t="str">
        <x:v>https://cbs1.tarimorman.gov.tr/server/rest/services/TATUS/FeatureServer/11/query?where=ID%3D19&amp;outFields=ID%2CHAVZA_ADI%2CALAN_KM2&amp;returnGeometry=true&amp;outSR=4326&amp;f=geojson</x:v>
      </x:c>
      <x:c r="G47" s="32" t="str">
        <x:v>BÜYÜK KARAÇAY</x:v>
      </x:c>
      <x:c r="H47" s="32" t="str">
        <x:v>HATAY</x:v>
      </x:c>
      <x:c r="I47" s="36" t="n">
        <x:v>36.18809</x:v>
      </x:c>
      <x:c r="J47" s="36" t="n">
        <x:v>35.98745</x:v>
      </x:c>
      <x:c r="K47" s="38" t="n">
        <x:v>351.93</x:v>
      </x:c>
      <x:c r="L47" s="38" t="n">
        <x:v>290</x:v>
      </x:c>
      <x:c r="M47" s="32"/>
      <x:c r="N47" s="38" t="n">
        <x:v>3.3</x:v>
      </x:c>
      <x:c r="O47" s="38" t="n">
        <x:v>4.3</x:v>
      </x:c>
      <x:c r="P47" s="38" t="n">
        <x:v>57.35</x:v>
      </x:c>
      <x:c r="Q47" s="38" t="n">
        <x:v>3.58</x:v>
      </x:c>
      <x:c r="R47" s="38" t="n">
        <x:v>39.12</x:v>
      </x:c>
      <x:c r="S47" s="38" t="n">
        <x:v>9.01</x:v>
      </x:c>
      <x:c r="T47" s="40" t="n">
        <x:v>46278.81434027778</x:v>
      </x:c>
      <x:c r="U47" s="32" t="str">
        <x:v>exact</x:v>
      </x:c>
      <x:c r="V47" s="32" t="str">
        <x:v>A</x:v>
      </x:c>
      <x:c r="W47" s="32" t="str">
        <x:v>Yüklü Debi_ve_Kurulu_Guc-13092026.xlsx</x:v>
      </x:c>
      <x:c r="X47" s="32" t="str">
        <x:v>Yüklü Debi_ve_Kurulu_Guc-13092026.xlsx</x:v>
      </x:c>
      <x:c r="Y47" s="32" t="str">
        <x:v>https://cbs1.tarimorman.gov.tr/server/rest/services/TATUS/FeatureServer/7</x:v>
      </x:c>
      <x:c r="Z47" s="32" t="str">
        <x:v>10</x:v>
      </x:c>
      <x:c r="AA47" s="101" t="str">
        <x:v>Kaskat alanında kaynak değeri '10' (belirsiz/sentinel)</x:v>
      </x:c>
      <x:c r="AB47" s="133" t="str">
        <x:v>Doğrulanmış koordinat mevcut</x:v>
      </x:c>
      <x:c r="AC47" s="133" t="str">
        <x:v>HES / baraj noktası</x:v>
      </x:c>
      <x:c r="AD47" s="133"/>
      <x:c r="AE47" s="133"/>
      <x:c r="AF47" s="133"/>
      <x:c r="AG47" s="134"/>
      <x:c r="AH47" s="134"/>
      <x:c r="AI47" s="133"/>
      <x:c r="AJ47" s="133"/>
      <x:c r="AK47" s="135"/>
      <x:c r="AL47" s="133" t="str">
        <x:v>Point</x:v>
      </x:c>
      <x:c r="AM47" s="133" t="str">
        <x:v>{"type": "Point", "coordinates": [35.98745, 36.18809]}</x:v>
      </x:c>
      <x:c r="AN47" s="133" t="str">
        <x:v>TATUS Baraj Gözlem Point</x:v>
      </x:c>
      <x:c r="AO47" s="133" t="str">
        <x:v>BÜYÜK KARAÇAY</x:v>
      </x:c>
      <x:c r="AP47" s="133" t="n">
        <x:v>1</x:v>
      </x:c>
      <x:c r="AQ47" s="134" t="n">
        <x:v>36.18809</x:v>
      </x:c>
      <x:c r="AR47" s="134" t="n">
        <x:v>35.98745</x:v>
      </x:c>
      <x:c r="AS47" s="133" t="str">
        <x:v>{"type": "Point", "coordinates": [35.98745, 36.18809]}</x:v>
      </x:c>
      <x:c r="AT47" s="133" t="str">
        <x:v>https://cbs1.tarimorman.gov.tr/server/rest/services/TATUS/FeatureServer/7/query?where=HAVZA_ID%3D19+AND+%28BarajAdi%3D%27B%C3%9CY%C3%9CK+KARA%C3%87AY%27%29&amp;outFields=OBJECTID%2CBarajAdi%2CHavzaAdi%2CHAVZA_ID%2CIl&amp;returnGeometry=true&amp;outSR=4326&amp;f=geojson</x:v>
      </x:c>
      <x:c r="AU47" s="133" t="str">
        <x:v>Asi</x:v>
      </x:c>
      <x:c r="AV47" s="133" t="str">
        <x:v>Polyline / LineString</x:v>
      </x:c>
      <x:c r="AW47" s="133" t="str">
        <x:v>https://cbs1.tarimorman.gov.tr/server/rest/services/TATUS/FeatureServer/8/query?where=HAVZA_ID%3D19&amp;geometry=35.987450%2C36.188090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7" s="133" t="str">
        <x:v>Havza ana akarsuyu ön-eşleme; TATUS spatial query ile doğrulanmalı</x:v>
      </x:c>
      <x:c r="AY47" s="133" t="str">
        <x:v>Polygon</x:v>
      </x:c>
      <x:c r="AZ47" s="133" t="str">
        <x:v>https://cbs1.tarimorman.gov.tr/server/rest/services/TATUS/FeatureServer/9/query?where=1%3D1&amp;geometry=35.987450%2C36.188090&amp;geometryType=esriGeometryPoint&amp;inSR=4326&amp;spatialRel=esriSpatialRelIntersects&amp;outFields=%2A&amp;returnGeometry=true&amp;outSR=4326&amp;resultRecordCount=5&amp;f=geojson</x:v>
      </x:c>
      <x:c r="BA47" s="133" t="str">
        <x:v>Santral popup: Su alanını göster</x:v>
      </x:c>
      <x:c r="BB47" s="133" t="str">
        <x:v>Yüksek</x:v>
      </x:c>
      <x:c r="BC47" s="133"/>
    </x:row>
    <x:row r="48" ht="30" customHeight="1">
      <x:c r="A48" s="100" t="n">
        <x:v>45</x:v>
      </x:c>
      <x:c r="B48" s="32" t="str">
        <x:v>CİNDERE HES</x:v>
      </x:c>
      <x:c r="C48" s="32" t="str">
        <x:v>Büyük Menderes</x:v>
      </x:c>
      <x:c r="D48" s="32" t="str">
        <x:v>Büyük Menderes</x:v>
      </x:c>
      <x:c r="E48" s="34" t="n">
        <x:v>7</x:v>
      </x:c>
      <x:c r="F48" s="32" t="str">
        <x:v>https://cbs1.tarimorman.gov.tr/server/rest/services/TATUS/FeatureServer/11/query?where=ID%3D7&amp;outFields=ID%2CHAVZA_ADI%2CALAN_KM2&amp;returnGeometry=true&amp;outSR=4326&amp;f=geojson</x:v>
      </x:c>
      <x:c r="G48" s="32" t="str">
        <x:v>CİNDERE</x:v>
      </x:c>
      <x:c r="H48" s="32" t="str">
        <x:v>DENİZLİ</x:v>
      </x:c>
      <x:c r="I48" s="36" t="n">
        <x:v>38.11523</x:v>
      </x:c>
      <x:c r="J48" s="36" t="n">
        <x:v>29.03511</x:v>
      </x:c>
      <x:c r="K48" s="38" t="n">
        <x:v>267.7</x:v>
      </x:c>
      <x:c r="L48" s="38" t="n">
        <x:v>238.5</x:v>
      </x:c>
      <x:c r="M48" s="32"/>
      <x:c r="N48" s="38" t="n">
        <x:v>27.8</x:v>
      </x:c>
      <x:c r="O48" s="38" t="n">
        <x:v>63</x:v>
      </x:c>
      <x:c r="P48" s="38" t="n">
        <x:v>84.27</x:v>
      </x:c>
      <x:c r="Q48" s="38" t="n">
        <x:v>5.62</x:v>
      </x:c>
      <x:c r="R48" s="38" t="n">
        <x:v>27.08</x:v>
      </x:c>
      <x:c r="S48" s="38" t="n">
        <x:v>1.95</x:v>
      </x:c>
      <x:c r="T48" s="40" t="n">
        <x:v>46278.81434027778</x:v>
      </x:c>
      <x:c r="U48" s="32" t="str">
        <x:v>exact</x:v>
      </x:c>
      <x:c r="V48" s="32" t="str">
        <x:v>A</x:v>
      </x:c>
      <x:c r="W48" s="32" t="str">
        <x:v>Yüklü Debi_ve_Kurulu_Guc-13092026.xlsx</x:v>
      </x:c>
      <x:c r="X48" s="32" t="str">
        <x:v>Yüklü Debi_ve_Kurulu_Guc-13092026.xlsx</x:v>
      </x:c>
      <x:c r="Y48" s="32" t="str">
        <x:v>https://cbs1.tarimorman.gov.tr/server/rest/services/TATUS/FeatureServer/7</x:v>
      </x:c>
      <x:c r="Z48" s="32" t="str">
        <x:v>10</x:v>
      </x:c>
      <x:c r="AA48" s="101" t="str">
        <x:v>Kaskat alanında kaynak değeri '10' (belirsiz/sentinel)</x:v>
      </x:c>
      <x:c r="AB48" s="133" t="str">
        <x:v>Doğrulanmış koordinat mevcut</x:v>
      </x:c>
      <x:c r="AC48" s="133" t="str">
        <x:v>HES / baraj noktası</x:v>
      </x:c>
      <x:c r="AD48" s="133"/>
      <x:c r="AE48" s="133"/>
      <x:c r="AF48" s="133"/>
      <x:c r="AG48" s="134"/>
      <x:c r="AH48" s="134"/>
      <x:c r="AI48" s="133"/>
      <x:c r="AJ48" s="133"/>
      <x:c r="AK48" s="135"/>
      <x:c r="AL48" s="133" t="str">
        <x:v>Point</x:v>
      </x:c>
      <x:c r="AM48" s="133" t="str">
        <x:v>{"type": "Point", "coordinates": [29.03511, 38.11523]}</x:v>
      </x:c>
      <x:c r="AN48" s="133" t="str">
        <x:v>TATUS Baraj Gözlem Point</x:v>
      </x:c>
      <x:c r="AO48" s="133" t="str">
        <x:v>CİNDERE</x:v>
      </x:c>
      <x:c r="AP48" s="133" t="n">
        <x:v>1</x:v>
      </x:c>
      <x:c r="AQ48" s="134" t="n">
        <x:v>38.11523</x:v>
      </x:c>
      <x:c r="AR48" s="134" t="n">
        <x:v>29.03511</x:v>
      </x:c>
      <x:c r="AS48" s="133" t="str">
        <x:v>{"type": "Point", "coordinates": [29.03511, 38.11523]}</x:v>
      </x:c>
      <x:c r="AT48" s="133" t="str">
        <x:v>https://cbs1.tarimorman.gov.tr/server/rest/services/TATUS/FeatureServer/7/query?where=HAVZA_ID%3D7+AND+%28BarajAdi%3D%27C%C4%B0NDERE%27%29&amp;outFields=OBJECTID%2CBarajAdi%2CHavzaAdi%2CHAVZA_ID%2CIl&amp;returnGeometry=true&amp;outSR=4326&amp;f=geojson</x:v>
      </x:c>
      <x:c r="AU48" s="133" t="str">
        <x:v>Büyük Menderes</x:v>
      </x:c>
      <x:c r="AV48" s="133" t="str">
        <x:v>Polyline / LineString</x:v>
      </x:c>
      <x:c r="AW48" s="133" t="str">
        <x:v>https://cbs1.tarimorman.gov.tr/server/rest/services/TATUS/FeatureServer/8/query?where=HAVZA_ID%3D7&amp;geometry=29.035110%2C38.115230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8" s="133" t="str">
        <x:v>Havza ana akarsuyu ön-eşleme; TATUS spatial query ile doğrulanmalı</x:v>
      </x:c>
      <x:c r="AY48" s="133" t="str">
        <x:v>Polygon</x:v>
      </x:c>
      <x:c r="AZ48" s="133" t="str">
        <x:v>https://cbs1.tarimorman.gov.tr/server/rest/services/TATUS/FeatureServer/9/query?where=1%3D1&amp;geometry=29.035110%2C38.115230&amp;geometryType=esriGeometryPoint&amp;inSR=4326&amp;spatialRel=esriSpatialRelIntersects&amp;outFields=%2A&amp;returnGeometry=true&amp;outSR=4326&amp;resultRecordCount=5&amp;f=geojson</x:v>
      </x:c>
      <x:c r="BA48" s="133" t="str">
        <x:v>Santral popup: Su alanını göster</x:v>
      </x:c>
      <x:c r="BB48" s="133" t="str">
        <x:v>Yüksek</x:v>
      </x:c>
      <x:c r="BC48" s="133"/>
    </x:row>
    <x:row r="49" ht="30" customHeight="1">
      <x:c r="A49" s="100" t="n">
        <x:v>46</x:v>
      </x:c>
      <x:c r="B49" s="32" t="str">
        <x:v>ÇAMLIGÖZE HES</x:v>
      </x:c>
      <x:c r="C49" s="32" t="str">
        <x:v>Yeşilırmak</x:v>
      </x:c>
      <x:c r="D49" s="32" t="str">
        <x:v>Yeşilırmak</x:v>
      </x:c>
      <x:c r="E49" s="34" t="n">
        <x:v>14</x:v>
      </x:c>
      <x:c r="F49" s="32" t="str">
        <x:v>https://cbs1.tarimorman.gov.tr/server/rest/services/TATUS/FeatureServer/11/query?where=ID%3D14&amp;outFields=ID%2CHAVZA_ADI%2CALAN_KM2&amp;returnGeometry=true&amp;outSR=4326&amp;f=geojson</x:v>
      </x:c>
      <x:c r="G49" s="32" t="str">
        <x:v>ÇAMLIGÖZE</x:v>
      </x:c>
      <x:c r="H49" s="32" t="str">
        <x:v>SİVAS</x:v>
      </x:c>
      <x:c r="I49" s="36" t="n">
        <x:v>40.22917</x:v>
      </x:c>
      <x:c r="J49" s="36" t="n">
        <x:v>38.07583</x:v>
      </x:c>
      <x:c r="K49" s="38" t="n">
        <x:v>751</x:v>
      </x:c>
      <x:c r="L49" s="38" t="n">
        <x:v>745</x:v>
      </x:c>
      <x:c r="M49" s="32"/>
      <x:c r="N49" s="38" t="n">
        <x:v>32</x:v>
      </x:c>
      <x:c r="O49" s="38" t="n">
        <x:v>166</x:v>
      </x:c>
      <x:c r="P49" s="38" t="n">
        <x:v>42.43</x:v>
      </x:c>
      <x:c r="Q49" s="38" t="n">
        <x:v>24.32</x:v>
      </x:c>
      <x:c r="R49" s="38" t="n">
        <x:v>18.11</x:v>
      </x:c>
      <x:c r="S49" s="38" t="n">
        <x:v>1.16</x:v>
      </x:c>
      <x:c r="T49" s="40" t="n">
        <x:v>46278.81434027778</x:v>
      </x:c>
      <x:c r="U49" s="32" t="str">
        <x:v>exact</x:v>
      </x:c>
      <x:c r="V49" s="32" t="str">
        <x:v>B</x:v>
      </x:c>
      <x:c r="W49" s="32" t="str">
        <x:v>Yüklü Debi_ve_Kurulu_Guc-13092026.xlsx</x:v>
      </x:c>
      <x:c r="X49" s="32" t="str">
        <x:v>Yüklü Debi_ve_Kurulu_Guc-13092026.xlsx</x:v>
      </x:c>
      <x:c r="Y49" s="32" t="str">
        <x:v>TATUS Baraj Gözlem İstasyonları (FeatureServer/7) fallback</x:v>
      </x:c>
      <x:c r="Z49" s="32" t="str">
        <x:v>10</x:v>
      </x:c>
      <x:c r="AA49" s="101" t="str">
        <x:v>Kaskat alanında kaynak değeri '10' (belirsiz/sentinel); Koordinat güvenilir açık kaynaktan doğrulanamadı; TATUS baraj noktası fallback: ÇAMLIGÖZE (exact); 1 nokta</x:v>
      </x:c>
      <x:c r="AB49" s="133" t="str">
        <x:v>TATUS baraj gözlem istasyonu ile tamamlandı</x:v>
      </x:c>
      <x:c r="AC49" s="133" t="str">
        <x:v>Baraj gözlem istasyonu (TATUS fallback)</x:v>
      </x:c>
      <x:c r="AD49" s="133"/>
      <x:c r="AE49" s="133"/>
      <x:c r="AF49" s="133"/>
      <x:c r="AG49" s="134"/>
      <x:c r="AH49" s="134"/>
      <x:c r="AI49" s="133"/>
      <x:c r="AJ49" s="133"/>
      <x:c r="AK49" s="135"/>
      <x:c r="AL49" s="133" t="str">
        <x:v>Point</x:v>
      </x:c>
      <x:c r="AM49" s="133" t="str">
        <x:v>{"type": "Point", "coordinates": [38.07583, 40.22917]}</x:v>
      </x:c>
      <x:c r="AN49" s="133" t="str">
        <x:v>TATUS Baraj Gözlem Point</x:v>
      </x:c>
      <x:c r="AO49" s="133" t="str">
        <x:v>ÇAMLIGÖZE</x:v>
      </x:c>
      <x:c r="AP49" s="133" t="n">
        <x:v>1</x:v>
      </x:c>
      <x:c r="AQ49" s="134" t="n">
        <x:v>40.22917</x:v>
      </x:c>
      <x:c r="AR49" s="134" t="n">
        <x:v>38.07583</x:v>
      </x:c>
      <x:c r="AS49" s="133" t="str">
        <x:v>{"type": "Point", "coordinates": [38.07583, 40.22917]}</x:v>
      </x:c>
      <x:c r="AT49" s="133" t="str">
        <x:v>https://cbs1.tarimorman.gov.tr/server/rest/services/TATUS/FeatureServer/7/query?where=HAVZA_ID%3D14+AND+%28BarajAdi%3D%27%C3%87AMLIG%C3%96ZE%27%29&amp;outFields=OBJECTID%2CBarajAdi%2CHavzaAdi%2CHAVZA_ID%2CIl&amp;returnGeometry=true&amp;outSR=4326&amp;f=geojson</x:v>
      </x:c>
      <x:c r="AU49" s="133" t="str">
        <x:v>Yeşilırmak</x:v>
      </x:c>
      <x:c r="AV49" s="133" t="str">
        <x:v>Polyline / LineString</x:v>
      </x:c>
      <x:c r="AW49" s="133" t="str">
        <x:v>https://cbs1.tarimorman.gov.tr/server/rest/services/TATUS/FeatureServer/8/query?where=HAVZA_ID%3D14&amp;geometry=38.075830%2C40.229170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49" s="133" t="str">
        <x:v>Havza ana akarsuyu ön-eşleme; TATUS spatial query ile doğrulanmalı</x:v>
      </x:c>
      <x:c r="AY49" s="133" t="str">
        <x:v>Polygon</x:v>
      </x:c>
      <x:c r="AZ49" s="133" t="str">
        <x:v>https://cbs1.tarimorman.gov.tr/server/rest/services/TATUS/FeatureServer/9/query?where=1%3D1&amp;geometry=38.075830%2C40.229170&amp;geometryType=esriGeometryPoint&amp;inSR=4326&amp;spatialRel=esriSpatialRelIntersects&amp;outFields=%2A&amp;returnGeometry=true&amp;outSR=4326&amp;resultRecordCount=5&amp;f=geojson</x:v>
      </x:c>
      <x:c r="BA49" s="133" t="str">
        <x:v>Santral popup: Su alanını göster</x:v>
      </x:c>
      <x:c r="BB49" s="133" t="str">
        <x:v>Yüksek-Orta</x:v>
      </x:c>
      <x:c r="BC49" s="133"/>
    </x:row>
    <x:row r="50" ht="30" customHeight="1">
      <x:c r="A50" s="100" t="n">
        <x:v>47</x:v>
      </x:c>
      <x:c r="B50" s="32" t="str">
        <x:v>ÇANDIR HES</x:v>
      </x:c>
      <x:c r="C50" s="32" t="str">
        <x:v>Orta Akdeniz</x:v>
      </x:c>
      <x:c r="D50" s="32" t="str">
        <x:v>Antalya</x:v>
      </x:c>
      <x:c r="E50" s="34" t="n">
        <x:v>9</x:v>
      </x:c>
      <x:c r="F50" s="32" t="str">
        <x:v>https://cbs1.tarimorman.gov.tr/server/rest/services/TATUS/FeatureServer/11/query?where=ID%3D9&amp;outFields=ID%2CHAVZA_ADI%2CALAN_KM2&amp;returnGeometry=true&amp;outSR=4326&amp;f=geojson</x:v>
      </x:c>
      <x:c r="G50" s="32" t="str">
        <x:v>ÇANDIR</x:v>
      </x:c>
      <x:c r="H50" s="32" t="str">
        <x:v>ANTALYA</x:v>
      </x:c>
      <x:c r="I50" s="36"/>
      <x:c r="J50" s="36"/>
      <x:c r="K50" s="38" t="n">
        <x:v>474.65</x:v>
      </x:c>
      <x:c r="L50" s="38" t="n">
        <x:v>472.97</x:v>
      </x:c>
      <x:c r="M50" s="32"/>
      <x:c r="N50" s="38" t="n">
        <x:v>1.71</x:v>
      </x:c>
      <x:c r="O50" s="38"/>
      <x:c r="P50" s="38"/>
      <x:c r="Q50" s="38"/>
      <x:c r="R50" s="38"/>
      <x:c r="S50" s="38"/>
      <x:c r="T50" s="40"/>
      <x:c r="U50" s="32" t="str">
        <x:v>eşleşme yok</x:v>
      </x:c>
      <x:c r="V50" s="32" t="str">
        <x:v>C</x:v>
      </x:c>
      <x:c r="W50" s="32" t="str">
        <x:v>https://www.milligazete.com.tr/hidroelektrik-santrali-hes-nedir-turkiyede-kac-tane-hes-var</x:v>
      </x:c>
      <x:c r="X50" s="32" t="str">
        <x:v>https://www.milligazete.com.tr/hidroelektrik-santrali-hes-nedir-turkiyede-kac-tane-hes-var</x:v>
      </x:c>
      <x:c r="Y50" s="32"/>
      <x:c r="Z50" s="32" t="str">
        <x:v>10</x:v>
      </x:c>
      <x:c r="AA5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50" s="133" t="str">
        <x:v>Koordinat eksik</x:v>
      </x:c>
      <x:c r="AC50" s="133" t="str">
        <x:v>—</x:v>
      </x:c>
      <x:c r="AD50" s="133"/>
      <x:c r="AE50" s="133"/>
      <x:c r="AF50" s="133"/>
      <x:c r="AG50" s="134"/>
      <x:c r="AH50" s="134"/>
      <x:c r="AI50" s="133"/>
      <x:c r="AJ50" s="133"/>
      <x:c r="AK50" s="135"/>
      <x:c r="AL50" s="133" t="str">
        <x:v>Point</x:v>
      </x:c>
      <x:c r="AM50" s="133"/>
      <x:c r="AN50" s="133" t="str">
        <x:v>Koordinat yok</x:v>
      </x:c>
      <x:c r="AO50" s="133"/>
      <x:c r="AP50" s="133"/>
      <x:c r="AQ50" s="134"/>
      <x:c r="AR50" s="134"/>
      <x:c r="AS50" s="133"/>
      <x:c r="AT50" s="133" t="str">
        <x:v>https://cbs1.tarimorman.gov.tr/server/rest/services/TATUS/FeatureServer/7/query?where=HAVZA_ID%3D9+AND+%28BarajAdi%3D%27%C3%87ANDIR%27%29&amp;outFields=OBJECTID%2CBarajAdi%2CHavzaAdi%2CHAVZA_ID%2CIl&amp;returnGeometry=true&amp;outSR=4326&amp;f=geojson</x:v>
      </x:c>
      <x:c r="AU50" s="133"/>
      <x:c r="AV50" s="133" t="str">
        <x:v>Polyline / LineString</x:v>
      </x:c>
      <x:c r="AW50" s="133"/>
      <x:c r="AX50" s="133" t="str">
        <x:v>Koordinat yok; spatial eşleme yapılamadı</x:v>
      </x:c>
      <x:c r="AY50" s="133" t="str">
        <x:v>Polygon</x:v>
      </x:c>
      <x:c r="AZ50" s="133"/>
      <x:c r="BA50" s="133" t="str">
        <x:v>Santral popup: Su alanını göster</x:v>
      </x:c>
      <x:c r="BB50" s="133" t="str">
        <x:v>Yok</x:v>
      </x:c>
      <x:c r="BC50" s="133" t="str">
        <x:v>TATUS baraj point doğrudan eşleşmesi bu çalışma kitabında çözülmedi; sorgu URL'si eklendi; Koordinat eksik olduğu için akarsu ve su toplama alanı spatial sorgusu üretilemedi</x:v>
      </x:c>
    </x:row>
    <x:row r="51" ht="30" customHeight="1">
      <x:c r="A51" s="100" t="n">
        <x:v>48</x:v>
      </x:c>
      <x:c r="B51" s="32" t="str">
        <x:v>ÇATALAN HES</x:v>
      </x:c>
      <x:c r="C51" s="32" t="str">
        <x:v>Seyhan</x:v>
      </x:c>
      <x:c r="D51" s="32" t="str">
        <x:v>Seyhan</x:v>
      </x:c>
      <x:c r="E51" s="34" t="n">
        <x:v>18</x:v>
      </x:c>
      <x:c r="F51" s="32" t="str">
        <x:v>https://cbs1.tarimorman.gov.tr/server/rest/services/TATUS/FeatureServer/11/query?where=ID%3D18&amp;outFields=ID%2CHAVZA_ADI%2CALAN_KM2&amp;returnGeometry=true&amp;outSR=4326&amp;f=geojson</x:v>
      </x:c>
      <x:c r="G51" s="32" t="str">
        <x:v>ÇATALAN</x:v>
      </x:c>
      <x:c r="H51" s="32" t="str">
        <x:v>ADANA</x:v>
      </x:c>
      <x:c r="I51" s="36" t="n">
        <x:v>37.19874</x:v>
      </x:c>
      <x:c r="J51" s="36" t="n">
        <x:v>35.28179</x:v>
      </x:c>
      <x:c r="K51" s="38" t="n">
        <x:v>125</x:v>
      </x:c>
      <x:c r="L51" s="38" t="n">
        <x:v>115</x:v>
      </x:c>
      <x:c r="M51" s="32" t="str">
        <x:v>SEYHAN 1 HES</x:v>
      </x:c>
      <x:c r="N51" s="38" t="n">
        <x:v>168.9</x:v>
      </x:c>
      <x:c r="O51" s="38" t="n">
        <x:v>355.2</x:v>
      </x:c>
      <x:c r="P51" s="38" t="n">
        <x:v>2028.68</x:v>
      </x:c>
      <x:c r="Q51" s="38" t="n">
        <x:v>1302.32</x:v>
      </x:c>
      <x:c r="R51" s="38" t="n">
        <x:v>126.43</x:v>
      </x:c>
      <x:c r="S51" s="38" t="n">
        <x:v>16.37</x:v>
      </x:c>
      <x:c r="T51" s="40" t="n">
        <x:v>46278.81434027778</x:v>
      </x:c>
      <x:c r="U51" s="32" t="str">
        <x:v>exact</x:v>
      </x:c>
      <x:c r="V51" s="32" t="str">
        <x:v>A</x:v>
      </x:c>
      <x:c r="W51" s="32" t="str">
        <x:v>Yüklü Debi_ve_Kurulu_Guc-13092026.xlsx</x:v>
      </x:c>
      <x:c r="X51" s="32" t="str">
        <x:v>Yüklü Debi_ve_Kurulu_Guc-13092026.xlsx</x:v>
      </x:c>
      <x:c r="Y51" s="32" t="str">
        <x:v>https://cbs1.tarimorman.gov.tr/server/rest/services/TATUS/FeatureServer/7</x:v>
      </x:c>
      <x:c r="Z51" s="32" t="str">
        <x:v>SEYHAN 1 HES</x:v>
      </x:c>
      <x:c r="AA51" s="101"/>
      <x:c r="AB51" s="133" t="str">
        <x:v>Doğrulanmış koordinat mevcut</x:v>
      </x:c>
      <x:c r="AC51" s="133" t="str">
        <x:v>HES / baraj noktası</x:v>
      </x:c>
      <x:c r="AD51" s="133" t="n">
        <x:v>482</x:v>
      </x:c>
      <x:c r="AE51" s="133" t="str">
        <x:v>ÇATALAN HES</x:v>
      </x:c>
      <x:c r="AF51" s="133" t="str">
        <x:v>Adana</x:v>
      </x:c>
      <x:c r="AG51" s="134" t="n">
        <x:v>37.196</x:v>
      </x:c>
      <x:c r="AH51" s="134" t="n">
        <x:v>35.278</x:v>
      </x:c>
      <x:c r="AI51" s="133" t="str">
        <x:v>Tam ad eşleşmesi</x:v>
      </x:c>
      <x:c r="AJ51" s="133" t="str">
        <x:v>Yüksek</x:v>
      </x:c>
      <x:c r="AK51" s="135" t="n">
        <x:v>0.453</x:v>
      </x:c>
      <x:c r="AL51" s="133" t="str">
        <x:v>Point</x:v>
      </x:c>
      <x:c r="AM51" s="133" t="str">
        <x:v>{"type": "Point", "coordinates": [35.28179, 37.19874]}</x:v>
      </x:c>
      <x:c r="AN51" s="133" t="str">
        <x:v>TATUS Baraj Gözlem Point</x:v>
      </x:c>
      <x:c r="AO51" s="133" t="str">
        <x:v>ÇATALAN</x:v>
      </x:c>
      <x:c r="AP51" s="133" t="n">
        <x:v>1</x:v>
      </x:c>
      <x:c r="AQ51" s="134" t="n">
        <x:v>37.19874</x:v>
      </x:c>
      <x:c r="AR51" s="134" t="n">
        <x:v>35.28179</x:v>
      </x:c>
      <x:c r="AS51" s="133" t="str">
        <x:v>{"type": "Point", "coordinates": [35.28179, 37.19874]}</x:v>
      </x:c>
      <x:c r="AT51" s="133" t="str">
        <x:v>https://cbs1.tarimorman.gov.tr/server/rest/services/TATUS/FeatureServer/7/query?where=HAVZA_ID%3D18+AND+%28BarajAdi%3D%27%C3%87ATALAN%27%29&amp;outFields=OBJECTID%2CBarajAdi%2CHavzaAdi%2CHAVZA_ID%2CIl&amp;returnGeometry=true&amp;outSR=4326&amp;f=geojson</x:v>
      </x:c>
      <x:c r="AU51" s="133" t="str">
        <x:v>Seyhan</x:v>
      </x:c>
      <x:c r="AV51" s="133" t="str">
        <x:v>Polyline / LineString</x:v>
      </x:c>
      <x:c r="AW51" s="133" t="str">
        <x:v>https://cbs1.tarimorman.gov.tr/server/rest/services/TATUS/FeatureServer/8/query?where=HAVZA_ID%3D18&amp;geometry=35.281790%2C37.198740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1" s="133" t="str">
        <x:v>Havza ana akarsuyu ön-eşleme; TATUS spatial query ile doğrulanmalı</x:v>
      </x:c>
      <x:c r="AY51" s="133" t="str">
        <x:v>Polygon</x:v>
      </x:c>
      <x:c r="AZ51" s="133" t="str">
        <x:v>https://cbs1.tarimorman.gov.tr/server/rest/services/TATUS/FeatureServer/9/query?where=1%3D1&amp;geometry=35.281790%2C37.198740&amp;geometryType=esriGeometryPoint&amp;inSR=4326&amp;spatialRel=esriSpatialRelIntersects&amp;outFields=%2A&amp;returnGeometry=true&amp;outSR=4326&amp;resultRecordCount=5&amp;f=geojson</x:v>
      </x:c>
      <x:c r="BA51" s="133" t="str">
        <x:v>Santral popup: Su alanını göster</x:v>
      </x:c>
      <x:c r="BB51" s="133" t="str">
        <x:v>Yüksek</x:v>
      </x:c>
      <x:c r="BC51" s="133"/>
    </x:row>
    <x:row r="52" ht="30" customHeight="1">
      <x:c r="A52" s="100" t="n">
        <x:v>49</x:v>
      </x:c>
      <x:c r="B52" s="32" t="str">
        <x:v>ÇAYGÖREN HES</x:v>
      </x:c>
      <x:c r="C52" s="32" t="str">
        <x:v>Susurluk</x:v>
      </x:c>
      <x:c r="D52" s="32" t="str">
        <x:v>Susurluk</x:v>
      </x:c>
      <x:c r="E52" s="34" t="n">
        <x:v>3</x:v>
      </x:c>
      <x:c r="F52" s="32" t="str">
        <x:v>https://cbs1.tarimorman.gov.tr/server/rest/services/TATUS/FeatureServer/11/query?where=ID%3D3&amp;outFields=ID%2CHAVZA_ADI%2CALAN_KM2&amp;returnGeometry=true&amp;outSR=4326&amp;f=geojson</x:v>
      </x:c>
      <x:c r="G52" s="32" t="str">
        <x:v>ÇAYGÖREN</x:v>
      </x:c>
      <x:c r="H52" s="32" t="str">
        <x:v>BALIKESİR</x:v>
      </x:c>
      <x:c r="I52" s="36" t="n">
        <x:v>39.27195</x:v>
      </x:c>
      <x:c r="J52" s="36" t="n">
        <x:v>28.21611</x:v>
      </x:c>
      <x:c r="K52" s="38" t="n">
        <x:v>270.5</x:v>
      </x:c>
      <x:c r="L52" s="38" t="n">
        <x:v>241.5</x:v>
      </x:c>
      <x:c r="M52" s="32"/>
      <x:c r="N52" s="38" t="n">
        <x:v>4.6</x:v>
      </x:c>
      <x:c r="O52" s="38" t="n">
        <x:v>11.5</x:v>
      </x:c>
      <x:c r="P52" s="38" t="n">
        <x:v>155.7</x:v>
      </x:c>
      <x:c r="Q52" s="38" t="n">
        <x:v>12.06</x:v>
      </x:c>
      <x:c r="R52" s="38" t="n">
        <x:v>48.6</x:v>
      </x:c>
      <x:c r="S52" s="38" t="n">
        <x:v>3.6</x:v>
      </x:c>
      <x:c r="T52" s="40" t="n">
        <x:v>46278.81434027778</x:v>
      </x:c>
      <x:c r="U52" s="32" t="str">
        <x:v>exact</x:v>
      </x:c>
      <x:c r="V52" s="32" t="str">
        <x:v>A</x:v>
      </x:c>
      <x:c r="W52" s="32" t="str">
        <x:v>Yüklü Debi_ve_Kurulu_Guc-13092026.xlsx</x:v>
      </x:c>
      <x:c r="X52" s="32" t="str">
        <x:v>Yüklü Debi_ve_Kurulu_Guc-13092026.xlsx</x:v>
      </x:c>
      <x:c r="Y52" s="32" t="str">
        <x:v>https://cbs1.tarimorman.gov.tr/server/rest/services/TATUS/FeatureServer/7</x:v>
      </x:c>
      <x:c r="Z52" s="32" t="str">
        <x:v>10</x:v>
      </x:c>
      <x:c r="AA52" s="101" t="str">
        <x:v>Kaskat alanında kaynak değeri '10' (belirsiz/sentinel)</x:v>
      </x:c>
      <x:c r="AB52" s="133" t="str">
        <x:v>Doğrulanmış koordinat mevcut</x:v>
      </x:c>
      <x:c r="AC52" s="133" t="str">
        <x:v>HES / baraj noktası</x:v>
      </x:c>
      <x:c r="AD52" s="133"/>
      <x:c r="AE52" s="133"/>
      <x:c r="AF52" s="133"/>
      <x:c r="AG52" s="134"/>
      <x:c r="AH52" s="134"/>
      <x:c r="AI52" s="133"/>
      <x:c r="AJ52" s="133"/>
      <x:c r="AK52" s="135"/>
      <x:c r="AL52" s="133" t="str">
        <x:v>Point</x:v>
      </x:c>
      <x:c r="AM52" s="133" t="str">
        <x:v>{"type": "Point", "coordinates": [28.21611, 39.27195]}</x:v>
      </x:c>
      <x:c r="AN52" s="133" t="str">
        <x:v>TATUS Baraj Gözlem Point</x:v>
      </x:c>
      <x:c r="AO52" s="133" t="str">
        <x:v>ÇAYGÖREN</x:v>
      </x:c>
      <x:c r="AP52" s="133" t="n">
        <x:v>1</x:v>
      </x:c>
      <x:c r="AQ52" s="134" t="n">
        <x:v>39.27195</x:v>
      </x:c>
      <x:c r="AR52" s="134" t="n">
        <x:v>28.21611</x:v>
      </x:c>
      <x:c r="AS52" s="133" t="str">
        <x:v>{"type": "Point", "coordinates": [28.21611, 39.27195]}</x:v>
      </x:c>
      <x:c r="AT52" s="133" t="str">
        <x:v>https://cbs1.tarimorman.gov.tr/server/rest/services/TATUS/FeatureServer/7/query?where=HAVZA_ID%3D3+AND+%28BarajAdi%3D%27%C3%87AYG%C3%96REN%27%29&amp;outFields=OBJECTID%2CBarajAdi%2CHavzaAdi%2CHAVZA_ID%2CIl&amp;returnGeometry=true&amp;outSR=4326&amp;f=geojson</x:v>
      </x:c>
      <x:c r="AU52" s="133" t="str">
        <x:v>Susurluk</x:v>
      </x:c>
      <x:c r="AV52" s="133" t="str">
        <x:v>Polyline / LineString</x:v>
      </x:c>
      <x:c r="AW52" s="133" t="str">
        <x:v>https://cbs1.tarimorman.gov.tr/server/rest/services/TATUS/FeatureServer/8/query?where=HAVZA_ID%3D3&amp;geometry=28.216110%2C39.271950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2" s="133" t="str">
        <x:v>Havza ana akarsuyu ön-eşleme; TATUS spatial query ile doğrulanmalı</x:v>
      </x:c>
      <x:c r="AY52" s="133" t="str">
        <x:v>Polygon</x:v>
      </x:c>
      <x:c r="AZ52" s="133" t="str">
        <x:v>https://cbs1.tarimorman.gov.tr/server/rest/services/TATUS/FeatureServer/9/query?where=1%3D1&amp;geometry=28.216110%2C39.271950&amp;geometryType=esriGeometryPoint&amp;inSR=4326&amp;spatialRel=esriSpatialRelIntersects&amp;outFields=%2A&amp;returnGeometry=true&amp;outSR=4326&amp;resultRecordCount=5&amp;f=geojson</x:v>
      </x:c>
      <x:c r="BA52" s="133" t="str">
        <x:v>Santral popup: Su alanını göster</x:v>
      </x:c>
      <x:c r="BB52" s="133" t="str">
        <x:v>Yüksek</x:v>
      </x:c>
      <x:c r="BC52" s="133"/>
    </x:row>
    <x:row r="53" ht="30" customHeight="1">
      <x:c r="A53" s="100" t="n">
        <x:v>50</x:v>
      </x:c>
      <x:c r="B53" s="32" t="str">
        <x:v>ÇEKEREK SÜREYYABEY HES</x:v>
      </x:c>
      <x:c r="C53" s="32" t="str">
        <x:v>Yeşilırmak</x:v>
      </x:c>
      <x:c r="D53" s="32" t="str">
        <x:v>Yeşilırmak</x:v>
      </x:c>
      <x:c r="E53" s="34" t="n">
        <x:v>14</x:v>
      </x:c>
      <x:c r="F53" s="32" t="str">
        <x:v>https://cbs1.tarimorman.gov.tr/server/rest/services/TATUS/FeatureServer/11/query?where=ID%3D14&amp;outFields=ID%2CHAVZA_ADI%2CALAN_KM2&amp;returnGeometry=true&amp;outSR=4326&amp;f=geojson</x:v>
      </x:c>
      <x:c r="G53" s="32" t="str">
        <x:v>SÜREYYABEY (ÇEKEREK)</x:v>
      </x:c>
      <x:c r="H53" s="32" t="str">
        <x:v>YOZGAT</x:v>
      </x:c>
      <x:c r="I53" s="36" t="n">
        <x:v>40.04222</x:v>
      </x:c>
      <x:c r="J53" s="36" t="n">
        <x:v>35.53778</x:v>
      </x:c>
      <x:c r="K53" s="38" t="n">
        <x:v>858.25</x:v>
      </x:c>
      <x:c r="L53" s="38" t="n">
        <x:v>820</x:v>
      </x:c>
      <x:c r="M53" s="32"/>
      <x:c r="N53" s="38" t="n">
        <x:v>14.4</x:v>
      </x:c>
      <x:c r="O53" s="38" t="n">
        <x:v>7.5</x:v>
      </x:c>
      <x:c r="P53" s="38" t="n">
        <x:v>1310</x:v>
      </x:c>
      <x:c r="Q53" s="38" t="n">
        <x:v>229.2</x:v>
      </x:c>
      <x:c r="R53" s="38"/>
      <x:c r="S53" s="38"/>
      <x:c r="T53" s="40" t="n">
        <x:v>46278.81434027778</x:v>
      </x:c>
      <x:c r="U53" s="32" t="str">
        <x:v>alias</x:v>
      </x:c>
      <x:c r="V53" s="32" t="str">
        <x:v>B</x:v>
      </x:c>
      <x:c r="W53" s="32" t="str">
        <x:v>Yüklü Debi_ve_Kurulu_Guc-13092026.xlsx</x:v>
      </x:c>
      <x:c r="X53" s="32" t="str">
        <x:v>Yüklü Debi_ve_Kurulu_Guc-13092026.xlsx</x:v>
      </x:c>
      <x:c r="Y53" s="32" t="str">
        <x:v>TATUS Baraj Gözlem İstasyonları (FeatureServer/7) fallback</x:v>
      </x:c>
      <x:c r="Z53" s="32" t="str">
        <x:v>10</x:v>
      </x:c>
      <x:c r="AA53" s="101" t="str">
        <x:v>Baraj adı eşleşmesi: SÜREYYABEY (ÇEKEREK); Kaskat alanında kaynak değeri '10' (belirsiz/sentinel); Koordinat güvenilir açık kaynaktan doğrulanamadı; TATUS baraj noktası fallback: ÇEKEREK (controlled_alias); 1 nokta</x:v>
      </x:c>
      <x:c r="AB53" s="133" t="str">
        <x:v>TATUS baraj gözlem istasyonu ile tamamlandı</x:v>
      </x:c>
      <x:c r="AC53" s="133" t="str">
        <x:v>Baraj gözlem istasyonu (TATUS fallback)</x:v>
      </x:c>
      <x:c r="AD53" s="133"/>
      <x:c r="AE53" s="133"/>
      <x:c r="AF53" s="133"/>
      <x:c r="AG53" s="134"/>
      <x:c r="AH53" s="134"/>
      <x:c r="AI53" s="133"/>
      <x:c r="AJ53" s="133"/>
      <x:c r="AK53" s="135"/>
      <x:c r="AL53" s="133" t="str">
        <x:v>Point</x:v>
      </x:c>
      <x:c r="AM53" s="133" t="str">
        <x:v>{"type": "Point", "coordinates": [35.53778, 40.04222]}</x:v>
      </x:c>
      <x:c r="AN53" s="133" t="str">
        <x:v>TATUS Baraj Gözlem Point</x:v>
      </x:c>
      <x:c r="AO53" s="133" t="str">
        <x:v>ÇEKEREK</x:v>
      </x:c>
      <x:c r="AP53" s="133" t="n">
        <x:v>1</x:v>
      </x:c>
      <x:c r="AQ53" s="134" t="n">
        <x:v>40.04222</x:v>
      </x:c>
      <x:c r="AR53" s="134" t="n">
        <x:v>35.53778</x:v>
      </x:c>
      <x:c r="AS53" s="133" t="str">
        <x:v>{"type": "Point", "coordinates": [35.53778, 40.04222]}</x:v>
      </x:c>
      <x:c r="AT53" s="133" t="str">
        <x:v>https://cbs1.tarimorman.gov.tr/server/rest/services/TATUS/FeatureServer/7/query?where=HAVZA_ID%3D14+AND+%28BarajAdi%3D%27S%C3%9CREYYABEY+%28%C3%87EKEREK%29%27+OR+BarajAdi%3D%27%C3%87EKEREK+S%C3%9CREYYABEY%27%29&amp;outFields=OBJECTID%2CBarajAdi%2CHavzaAdi%2CHAVZA_ID%2CIl&amp;returnGeometry=true&amp;outSR=4326&amp;f=geojson</x:v>
      </x:c>
      <x:c r="AU53" s="133" t="str">
        <x:v>Yeşilırmak</x:v>
      </x:c>
      <x:c r="AV53" s="133" t="str">
        <x:v>Polyline / LineString</x:v>
      </x:c>
      <x:c r="AW53" s="133" t="str">
        <x:v>https://cbs1.tarimorman.gov.tr/server/rest/services/TATUS/FeatureServer/8/query?where=HAVZA_ID%3D14&amp;geometry=35.537780%2C40.042220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3" s="133" t="str">
        <x:v>Havza ana akarsuyu ön-eşleme; TATUS spatial query ile doğrulanmalı</x:v>
      </x:c>
      <x:c r="AY53" s="133" t="str">
        <x:v>Polygon</x:v>
      </x:c>
      <x:c r="AZ53" s="133" t="str">
        <x:v>https://cbs1.tarimorman.gov.tr/server/rest/services/TATUS/FeatureServer/9/query?where=1%3D1&amp;geometry=35.537780%2C40.042220&amp;geometryType=esriGeometryPoint&amp;inSR=4326&amp;spatialRel=esriSpatialRelIntersects&amp;outFields=%2A&amp;returnGeometry=true&amp;outSR=4326&amp;resultRecordCount=5&amp;f=geojson</x:v>
      </x:c>
      <x:c r="BA53" s="133" t="str">
        <x:v>Santral popup: Su alanını göster</x:v>
      </x:c>
      <x:c r="BB53" s="133" t="str">
        <x:v>Yüksek-Orta</x:v>
      </x:c>
      <x:c r="BC53" s="133"/>
    </x:row>
    <x:row r="54" ht="30" customHeight="1">
      <x:c r="A54" s="100" t="n">
        <x:v>51</x:v>
      </x:c>
      <x:c r="B54" s="32" t="str">
        <x:v>ÇERMİKLER HES</x:v>
      </x:c>
      <x:c r="C54" s="32" t="str">
        <x:v>Kızılırmak</x:v>
      </x:c>
      <x:c r="D54" s="32" t="str">
        <x:v>Kızılırmak</x:v>
      </x:c>
      <x:c r="E54" s="34" t="n">
        <x:v>15</x:v>
      </x:c>
      <x:c r="F54" s="32" t="str">
        <x:v>https://cbs1.tarimorman.gov.tr/server/rest/services/TATUS/FeatureServer/11/query?where=ID%3D15&amp;outFields=ID%2CHAVZA_ADI%2CALAN_KM2&amp;returnGeometry=true&amp;outSR=4326&amp;f=geojson</x:v>
      </x:c>
      <x:c r="G54" s="32" t="str">
        <x:v>ÇERMİKLER</x:v>
      </x:c>
      <x:c r="H54" s="32" t="str">
        <x:v>SİVAS</x:v>
      </x:c>
      <x:c r="I54" s="36" t="n">
        <x:v>39.29711</x:v>
      </x:c>
      <x:c r="J54" s="36" t="n">
        <x:v>36.37848</x:v>
      </x:c>
      <x:c r="K54" s="38" t="n">
        <x:v>1190.7</x:v>
      </x:c>
      <x:c r="L54" s="38" t="n">
        <x:v>1189</x:v>
      </x:c>
      <x:c r="M54" s="32" t="str">
        <x:v>YAMULA HES</x:v>
      </x:c>
      <x:c r="N54" s="38" t="n">
        <x:v>25</x:v>
      </x:c>
      <x:c r="O54" s="38" t="n">
        <x:v>55</x:v>
      </x:c>
      <x:c r="P54" s="38" t="n">
        <x:v>37.4</x:v>
      </x:c>
      <x:c r="Q54" s="38" t="n">
        <x:v>30.5</x:v>
      </x:c>
      <x:c r="R54" s="38" t="n">
        <x:v>5.95</x:v>
      </x:c>
      <x:c r="S54" s="38" t="n">
        <x:v>0.39</x:v>
      </x:c>
      <x:c r="T54" s="40" t="n">
        <x:v>46278.81434027778</x:v>
      </x:c>
      <x:c r="U54" s="32" t="str">
        <x:v>exact</x:v>
      </x:c>
      <x:c r="V54" s="32" t="str">
        <x:v>B</x:v>
      </x:c>
      <x:c r="W54" s="32" t="str">
        <x:v>Yüklü Debi_ve_Kurulu_Guc-13092026.xlsx</x:v>
      </x:c>
      <x:c r="X54" s="32" t="str">
        <x:v>Yüklü Debi_ve_Kurulu_Guc-13092026.xlsx</x:v>
      </x:c>
      <x:c r="Y54" s="32" t="str">
        <x:v>TATUS Baraj Gözlem İstasyonları (FeatureServer/7) fallback</x:v>
      </x:c>
      <x:c r="Z54" s="32" t="str">
        <x:v>YAMULA HES</x:v>
      </x:c>
      <x:c r="AA54" s="101" t="str">
        <x:v>Koordinat güvenilir açık kaynaktan doğrulanamadı; TATUS baraj noktası fallback: ÇERMİKLER (exact); 1 nokta</x:v>
      </x:c>
      <x:c r="AB54" s="133" t="str">
        <x:v>TATUS baraj gözlem istasyonu ile tamamlandı</x:v>
      </x:c>
      <x:c r="AC54" s="133" t="str">
        <x:v>Baraj gözlem istasyonu (TATUS fallback)</x:v>
      </x:c>
      <x:c r="AD54" s="133"/>
      <x:c r="AE54" s="133"/>
      <x:c r="AF54" s="133"/>
      <x:c r="AG54" s="134"/>
      <x:c r="AH54" s="134"/>
      <x:c r="AI54" s="133"/>
      <x:c r="AJ54" s="133"/>
      <x:c r="AK54" s="135"/>
      <x:c r="AL54" s="133" t="str">
        <x:v>Point</x:v>
      </x:c>
      <x:c r="AM54" s="133" t="str">
        <x:v>{"type": "Point", "coordinates": [36.37848, 39.29711]}</x:v>
      </x:c>
      <x:c r="AN54" s="133" t="str">
        <x:v>TATUS Baraj Gözlem Point</x:v>
      </x:c>
      <x:c r="AO54" s="133" t="str">
        <x:v>ÇERMİKLER</x:v>
      </x:c>
      <x:c r="AP54" s="133" t="n">
        <x:v>1</x:v>
      </x:c>
      <x:c r="AQ54" s="134" t="n">
        <x:v>39.29711</x:v>
      </x:c>
      <x:c r="AR54" s="134" t="n">
        <x:v>36.37848</x:v>
      </x:c>
      <x:c r="AS54" s="133" t="str">
        <x:v>{"type": "Point", "coordinates": [36.37848, 39.29711]}</x:v>
      </x:c>
      <x:c r="AT54" s="133" t="str">
        <x:v>https://cbs1.tarimorman.gov.tr/server/rest/services/TATUS/FeatureServer/7/query?where=HAVZA_ID%3D15+AND+%28BarajAdi%3D%27%C3%87ERM%C4%B0KLER%27%29&amp;outFields=OBJECTID%2CBarajAdi%2CHavzaAdi%2CHAVZA_ID%2CIl&amp;returnGeometry=true&amp;outSR=4326&amp;f=geojson</x:v>
      </x:c>
      <x:c r="AU54" s="133" t="str">
        <x:v>Kızılırmak</x:v>
      </x:c>
      <x:c r="AV54" s="133" t="str">
        <x:v>Polyline / LineString</x:v>
      </x:c>
      <x:c r="AW54" s="133" t="str">
        <x:v>https://cbs1.tarimorman.gov.tr/server/rest/services/TATUS/FeatureServer/8/query?where=HAVZA_ID%3D15&amp;geometry=36.378480%2C39.297110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4" s="133" t="str">
        <x:v>Havza ana akarsuyu ön-eşleme; TATUS spatial query ile doğrulanmalı</x:v>
      </x:c>
      <x:c r="AY54" s="133" t="str">
        <x:v>Polygon</x:v>
      </x:c>
      <x:c r="AZ54" s="133" t="str">
        <x:v>https://cbs1.tarimorman.gov.tr/server/rest/services/TATUS/FeatureServer/9/query?where=1%3D1&amp;geometry=36.378480%2C39.297110&amp;geometryType=esriGeometryPoint&amp;inSR=4326&amp;spatialRel=esriSpatialRelIntersects&amp;outFields=%2A&amp;returnGeometry=true&amp;outSR=4326&amp;resultRecordCount=5&amp;f=geojson</x:v>
      </x:c>
      <x:c r="BA54" s="133" t="str">
        <x:v>Santral popup: Su alanını göster</x:v>
      </x:c>
      <x:c r="BB54" s="133" t="str">
        <x:v>Yüksek-Orta</x:v>
      </x:c>
      <x:c r="BC54" s="133"/>
    </x:row>
    <x:row r="55" ht="30" customHeight="1">
      <x:c r="A55" s="100" t="n">
        <x:v>52</x:v>
      </x:c>
      <x:c r="B55" s="32" t="str">
        <x:v>ÇETİN HES</x:v>
      </x:c>
      <x:c r="C55" s="32" t="str">
        <x:v>Fırat Dicle</x:v>
      </x:c>
      <x:c r="D55" s="32" t="str">
        <x:v>Fırat-Dicle</x:v>
      </x:c>
      <x:c r="E55" s="34" t="n">
        <x:v>21</x:v>
      </x:c>
      <x:c r="F55" s="32" t="str">
        <x:v>https://cbs1.tarimorman.gov.tr/server/rest/services/TATUS/FeatureServer/11/query?where=ID%3D21&amp;outFields=ID%2CHAVZA_ADI%2CALAN_KM2&amp;returnGeometry=true&amp;outSR=4326&amp;f=geojson</x:v>
      </x:c>
      <x:c r="G55" s="32" t="str">
        <x:v>ÇETİN</x:v>
      </x:c>
      <x:c r="H55" s="32" t="str">
        <x:v>SİİRT</x:v>
      </x:c>
      <x:c r="I55" s="36" t="n">
        <x:v>37.973</x:v>
      </x:c>
      <x:c r="J55" s="36" t="n">
        <x:v>42.356</x:v>
      </x:c>
      <x:c r="K55" s="38" t="n">
        <x:v>822</x:v>
      </x:c>
      <x:c r="L55" s="38" t="n">
        <x:v>780</x:v>
      </x:c>
      <x:c r="M55" s="32" t="str">
        <x:v>ALKUMRU HES</x:v>
      </x:c>
      <x:c r="N55" s="38" t="n">
        <x:v>420</x:v>
      </x:c>
      <x:c r="O55" s="38"/>
      <x:c r="P55" s="38"/>
      <x:c r="Q55" s="38"/>
      <x:c r="R55" s="38"/>
      <x:c r="S55" s="38"/>
      <x:c r="T55" s="40"/>
      <x:c r="U55" s="32" t="str">
        <x:v>eşleşme yok</x:v>
      </x:c>
      <x:c r="V55" s="32" t="str">
        <x:v>C</x:v>
      </x:c>
      <x:c r="W55" s="32" t="str">
        <x:v>https://openinframap.org/stats/area/Turkey/plants?source=hydro</x:v>
      </x:c>
      <x:c r="X55" s="32" t="str">
        <x:v>https://openinframap.org/stats/area/Turkey/plants?source=hydro</x:v>
      </x:c>
      <x:c r="Y55" s="32" t="str">
        <x:v>hes_MERKEZI_LISTESI.xlsx — trafo merkezi koordinatı (yaklaşık)</x:v>
      </x:c>
      <x:c r="Z55" s="32" t="str">
        <x:v>ALKUMRU HES</x:v>
      </x:c>
      <x:c r="AA55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55" s="133" t="str">
        <x:v>Trafo merkezi koordinatı ile tamamlandı</x:v>
      </x:c>
      <x:c r="AC55" s="133" t="str">
        <x:v>Trafo merkezi / elektrik bağlantı noktası (yaklaşık)</x:v>
      </x:c>
      <x:c r="AD55" s="133" t="n">
        <x:v>1693</x:v>
      </x:c>
      <x:c r="AE55" s="133" t="str">
        <x:v>ÇETİN HES</x:v>
      </x:c>
      <x:c r="AF55" s="133" t="str">
        <x:v>Siirt</x:v>
      </x:c>
      <x:c r="AG55" s="134" t="n">
        <x:v>37.973</x:v>
      </x:c>
      <x:c r="AH55" s="134" t="n">
        <x:v>42.356</x:v>
      </x:c>
      <x:c r="AI55" s="133" t="str">
        <x:v>Tam ad eşleşmesi</x:v>
      </x:c>
      <x:c r="AJ55" s="133" t="str">
        <x:v>Yüksek</x:v>
      </x:c>
      <x:c r="AK55" s="135"/>
      <x:c r="AL55" s="133" t="str">
        <x:v>Point</x:v>
      </x:c>
      <x:c r="AM55" s="133" t="str">
        <x:v>{"type": "Point", "coordinates": [42.356, 37.973]}</x:v>
      </x:c>
      <x:c r="AN55" s="133" t="str">
        <x:v>Trafo merkezi / elektrik bağlantı noktası (yaklaşık)</x:v>
      </x:c>
      <x:c r="AO55" s="133"/>
      <x:c r="AP55" s="133"/>
      <x:c r="AQ55" s="134"/>
      <x:c r="AR55" s="134"/>
      <x:c r="AS55" s="133"/>
      <x:c r="AT55" s="133" t="str">
        <x:v>https://cbs1.tarimorman.gov.tr/server/rest/services/TATUS/FeatureServer/7/query?where=HAVZA_ID%3D21+AND+%28BarajAdi%3D%27%C3%87ET%C4%B0N%27%29&amp;outFields=OBJECTID%2CBarajAdi%2CHavzaAdi%2CHAVZA_ID%2CIl&amp;returnGeometry=true&amp;outSR=4326&amp;f=geojson</x:v>
      </x:c>
      <x:c r="AU55" s="133"/>
      <x:c r="AV55" s="133" t="str">
        <x:v>Polyline / LineString</x:v>
      </x:c>
      <x:c r="AW55" s="133" t="str">
        <x:v>https://cbs1.tarimorman.gov.tr/server/rest/services/TATUS/FeatureServer/8/query?where=HAVZA_ID%3D21&amp;geometry=42.356000%2C37.973000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5" s="133" t="str">
        <x:v>TATUS spatial query hazır; en yakın/uygun LineString seçilmeli</x:v>
      </x:c>
      <x:c r="AY55" s="133" t="str">
        <x:v>Polygon</x:v>
      </x:c>
      <x:c r="AZ55" s="133" t="str">
        <x:v>https://cbs1.tarimorman.gov.tr/server/rest/services/TATUS/FeatureServer/9/query?where=1%3D1&amp;geometry=42.356000%2C37.973000&amp;geometryType=esriGeometryPoint&amp;inSR=4326&amp;spatialRel=esriSpatialRelIntersects&amp;outFields=%2A&amp;returnGeometry=true&amp;outSR=4326&amp;resultRecordCount=5&amp;f=geojson</x:v>
      </x:c>
      <x:c r="BA55" s="133" t="str">
        <x:v>Santral popup: Su alanını göster</x:v>
      </x:c>
      <x:c r="BB55" s="133" t="str">
        <x:v>Orta-Düşük</x:v>
      </x:c>
      <x:c r="BC55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56" ht="30" customHeight="1">
      <x:c r="A56" s="100" t="n">
        <x:v>53</x:v>
      </x:c>
      <x:c r="B56" s="32" t="str">
        <x:v>ÇILDIR HES</x:v>
      </x:c>
      <x:c r="C56" s="32" t="str">
        <x:v>Aras</x:v>
      </x:c>
      <x:c r="D56" s="32" t="str">
        <x:v>Aras</x:v>
      </x:c>
      <x:c r="E56" s="34" t="n">
        <x:v>24</x:v>
      </x:c>
      <x:c r="F56" s="32" t="str">
        <x:v>https://cbs1.tarimorman.gov.tr/server/rest/services/TATUS/FeatureServer/11/query?where=ID%3D24&amp;outFields=ID%2CHAVZA_ADI%2CALAN_KM2&amp;returnGeometry=true&amp;outSR=4326&amp;f=geojson</x:v>
      </x:c>
      <x:c r="G56" s="32" t="str">
        <x:v>ÇILDIR</x:v>
      </x:c>
      <x:c r="H56" s="32" t="str">
        <x:v>ARDAHAN</x:v>
      </x:c>
      <x:c r="I56" s="36" t="n">
        <x:v>40.901</x:v>
      </x:c>
      <x:c r="J56" s="36" t="n">
        <x:v>43.328</x:v>
      </x:c>
      <x:c r="K56" s="38" t="n">
        <x:v>1962</x:v>
      </x:c>
      <x:c r="L56" s="38" t="n">
        <x:v>1953</x:v>
      </x:c>
      <x:c r="M56" s="32"/>
      <x:c r="N56" s="38" t="n">
        <x:v>15.36</x:v>
      </x:c>
      <x:c r="O56" s="38"/>
      <x:c r="P56" s="38"/>
      <x:c r="Q56" s="38"/>
      <x:c r="R56" s="38"/>
      <x:c r="S56" s="38"/>
      <x:c r="T56" s="40"/>
      <x:c r="U56" s="32" t="str">
        <x:v>eşleşme yok</x:v>
      </x:c>
      <x:c r="V56" s="32" t="str">
        <x:v>C</x:v>
      </x:c>
      <x:c r="W56" s="32" t="str">
        <x:v>https://openinframap.org/stats/area/Turkey/plants?source=hydro</x:v>
      </x:c>
      <x:c r="X56" s="32" t="str">
        <x:v>https://openinframap.org/stats/area/Turkey/plants?source=hydro</x:v>
      </x:c>
      <x:c r="Y56" s="32" t="str">
        <x:v>hes_MERKEZI_LISTESI.xlsx — trafo merkezi koordinatı (yaklaşık)</x:v>
      </x:c>
      <x:c r="Z56" s="32" t="str">
        <x:v>10</x:v>
      </x:c>
      <x:c r="AA56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56" s="133" t="str">
        <x:v>Trafo merkezi koordinatı ile tamamlandı</x:v>
      </x:c>
      <x:c r="AC56" s="133" t="str">
        <x:v>Trafo merkezi / elektrik bağlantı noktası (yaklaşık)</x:v>
      </x:c>
      <x:c r="AD56" s="133" t="n">
        <x:v>240</x:v>
      </x:c>
      <x:c r="AE56" s="133" t="str">
        <x:v>ÇILDIR HES</x:v>
      </x:c>
      <x:c r="AF56" s="133" t="str">
        <x:v>Kars</x:v>
      </x:c>
      <x:c r="AG56" s="134" t="n">
        <x:v>40.901</x:v>
      </x:c>
      <x:c r="AH56" s="134" t="n">
        <x:v>43.328</x:v>
      </x:c>
      <x:c r="AI56" s="133" t="str">
        <x:v>Tam ad eşleşmesi</x:v>
      </x:c>
      <x:c r="AJ56" s="133" t="str">
        <x:v>Yüksek</x:v>
      </x:c>
      <x:c r="AK56" s="135"/>
      <x:c r="AL56" s="133" t="str">
        <x:v>Point</x:v>
      </x:c>
      <x:c r="AM56" s="133" t="str">
        <x:v>{"type": "Point", "coordinates": [43.328, 40.901]}</x:v>
      </x:c>
      <x:c r="AN56" s="133" t="str">
        <x:v>Trafo merkezi / elektrik bağlantı noktası (yaklaşık)</x:v>
      </x:c>
      <x:c r="AO56" s="133"/>
      <x:c r="AP56" s="133"/>
      <x:c r="AQ56" s="134"/>
      <x:c r="AR56" s="134"/>
      <x:c r="AS56" s="133"/>
      <x:c r="AT56" s="133" t="str">
        <x:v>https://cbs1.tarimorman.gov.tr/server/rest/services/TATUS/FeatureServer/7/query?where=HAVZA_ID%3D24+AND+%28BarajAdi%3D%27%C3%87ILDIR%27%29&amp;outFields=OBJECTID%2CBarajAdi%2CHavzaAdi%2CHAVZA_ID%2CIl&amp;returnGeometry=true&amp;outSR=4326&amp;f=geojson</x:v>
      </x:c>
      <x:c r="AU56" s="133" t="str">
        <x:v>Aras</x:v>
      </x:c>
      <x:c r="AV56" s="133" t="str">
        <x:v>Polyline / LineString</x:v>
      </x:c>
      <x:c r="AW56" s="133" t="str">
        <x:v>https://cbs1.tarimorman.gov.tr/server/rest/services/TATUS/FeatureServer/8/query?where=HAVZA_ID%3D24&amp;geometry=43.328000%2C40.901000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6" s="133" t="str">
        <x:v>Havza ana akarsuyu ön-eşleme; TATUS spatial query ile doğrulanmalı</x:v>
      </x:c>
      <x:c r="AY56" s="133" t="str">
        <x:v>Polygon</x:v>
      </x:c>
      <x:c r="AZ56" s="133" t="str">
        <x:v>https://cbs1.tarimorman.gov.tr/server/rest/services/TATUS/FeatureServer/9/query?where=1%3D1&amp;geometry=43.328000%2C40.901000&amp;geometryType=esriGeometryPoint&amp;inSR=4326&amp;spatialRel=esriSpatialRelIntersects&amp;outFields=%2A&amp;returnGeometry=true&amp;outSR=4326&amp;resultRecordCount=5&amp;f=geojson</x:v>
      </x:c>
      <x:c r="BA56" s="133" t="str">
        <x:v>Santral popup: Su alanını göster</x:v>
      </x:c>
      <x:c r="BB56" s="133" t="str">
        <x:v>Orta-Düşük</x:v>
      </x:c>
      <x:c r="BC56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57" ht="30" customHeight="1">
      <x:c r="A57" s="100" t="n">
        <x:v>54</x:v>
      </x:c>
      <x:c r="B57" s="32" t="str">
        <x:v>ÇİNE HES</x:v>
      </x:c>
      <x:c r="C57" s="32" t="str">
        <x:v>Büyük Menderes</x:v>
      </x:c>
      <x:c r="D57" s="32" t="str">
        <x:v>Büyük Menderes</x:v>
      </x:c>
      <x:c r="E57" s="34" t="n">
        <x:v>7</x:v>
      </x:c>
      <x:c r="F57" s="32" t="str">
        <x:v>https://cbs1.tarimorman.gov.tr/server/rest/services/TATUS/FeatureServer/11/query?where=ID%3D7&amp;outFields=ID%2CHAVZA_ADI%2CALAN_KM2&amp;returnGeometry=true&amp;outSR=4326&amp;f=geojson</x:v>
      </x:c>
      <x:c r="G57" s="32" t="str">
        <x:v>ÇİNE ADNAN MENDERES</x:v>
      </x:c>
      <x:c r="H57" s="32" t="str">
        <x:v>AYDIN</x:v>
      </x:c>
      <x:c r="I57" s="36" t="n">
        <x:v>37.49475</x:v>
      </x:c>
      <x:c r="J57" s="36" t="n">
        <x:v>28.12994</x:v>
      </x:c>
      <x:c r="K57" s="38" t="n">
        <x:v>260</x:v>
      </x:c>
      <x:c r="L57" s="38" t="n">
        <x:v>220</x:v>
      </x:c>
      <x:c r="M57" s="32"/>
      <x:c r="N57" s="38" t="n">
        <x:v>47.2</x:v>
      </x:c>
      <x:c r="O57" s="38" t="n">
        <x:v>35</x:v>
      </x:c>
      <x:c r="P57" s="38" t="n">
        <x:v>350</x:v>
      </x:c>
      <x:c r="Q57" s="38" t="n">
        <x:v>37</x:v>
      </x:c>
      <x:c r="R57" s="38" t="n">
        <x:v>162.25</x:v>
      </x:c>
      <x:c r="S57" s="38" t="n">
        <x:v>54.25</x:v>
      </x:c>
      <x:c r="T57" s="40" t="n">
        <x:v>46278.81434027778</x:v>
      </x:c>
      <x:c r="U57" s="32" t="str">
        <x:v>alias</x:v>
      </x:c>
      <x:c r="V57" s="32" t="str">
        <x:v>A</x:v>
      </x:c>
      <x:c r="W57" s="32" t="str">
        <x:v>Yüklü Debi_ve_Kurulu_Guc-13092026.xlsx</x:v>
      </x:c>
      <x:c r="X57" s="32" t="str">
        <x:v>Yüklü Debi_ve_Kurulu_Guc-13092026.xlsx</x:v>
      </x:c>
      <x:c r="Y57" s="32" t="str">
        <x:v>https://cbs1.tarimorman.gov.tr/server/rest/services/TATUS/FeatureServer/7</x:v>
      </x:c>
      <x:c r="Z57" s="32" t="str">
        <x:v>10</x:v>
      </x:c>
      <x:c r="AA57" s="101" t="str">
        <x:v>Baraj adı eşleşmesi: ÇİNE ADNAN MENDERES; Kaskat alanında kaynak değeri '10' (belirsiz/sentinel)</x:v>
      </x:c>
      <x:c r="AB57" s="133" t="str">
        <x:v>Doğrulanmış koordinat mevcut</x:v>
      </x:c>
      <x:c r="AC57" s="133" t="str">
        <x:v>HES / baraj noktası</x:v>
      </x:c>
      <x:c r="AD57" s="133" t="n">
        <x:v>1199</x:v>
      </x:c>
      <x:c r="AE57" s="133" t="str">
        <x:v>ÇİNE HES</x:v>
      </x:c>
      <x:c r="AF57" s="133" t="str">
        <x:v>Aydın</x:v>
      </x:c>
      <x:c r="AG57" s="134" t="n">
        <x:v>37.511</x:v>
      </x:c>
      <x:c r="AH57" s="134" t="n">
        <x:v>28.107</x:v>
      </x:c>
      <x:c r="AI57" s="133" t="str">
        <x:v>Tam ad eşleşmesi</x:v>
      </x:c>
      <x:c r="AJ57" s="133" t="str">
        <x:v>Yüksek</x:v>
      </x:c>
      <x:c r="AK57" s="135" t="n">
        <x:v>2.713</x:v>
      </x:c>
      <x:c r="AL57" s="133" t="str">
        <x:v>Point</x:v>
      </x:c>
      <x:c r="AM57" s="133" t="str">
        <x:v>{"type": "Point", "coordinates": [28.12994, 37.49475]}</x:v>
      </x:c>
      <x:c r="AN57" s="133" t="str">
        <x:v>TATUS Baraj Gözlem Point</x:v>
      </x:c>
      <x:c r="AO57" s="133" t="str">
        <x:v>ÇİNE ADNAN MENDERES</x:v>
      </x:c>
      <x:c r="AP57" s="133" t="n">
        <x:v>1</x:v>
      </x:c>
      <x:c r="AQ57" s="134" t="n">
        <x:v>37.49475</x:v>
      </x:c>
      <x:c r="AR57" s="134" t="n">
        <x:v>28.12994</x:v>
      </x:c>
      <x:c r="AS57" s="133" t="str">
        <x:v>{"type": "Point", "coordinates": [28.12994, 37.49475]}</x:v>
      </x:c>
      <x:c r="AT57" s="133" t="str">
        <x:v>https://cbs1.tarimorman.gov.tr/server/rest/services/TATUS/FeatureServer/7/query?where=HAVZA_ID%3D7+AND+%28BarajAdi%3D%27%C3%87%C4%B0NE+ADNAN+MENDERES%27+OR+BarajAdi%3D%27%C3%87%C4%B0NE%27%29&amp;outFields=OBJECTID%2CBarajAdi%2CHavzaAdi%2CHAVZA_ID%2CIl&amp;returnGeometry=true&amp;outSR=4326&amp;f=geojson</x:v>
      </x:c>
      <x:c r="AU57" s="133" t="str">
        <x:v>Büyük Menderes</x:v>
      </x:c>
      <x:c r="AV57" s="133" t="str">
        <x:v>Polyline / LineString</x:v>
      </x:c>
      <x:c r="AW57" s="133" t="str">
        <x:v>https://cbs1.tarimorman.gov.tr/server/rest/services/TATUS/FeatureServer/8/query?where=HAVZA_ID%3D7&amp;geometry=28.129940%2C37.494750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7" s="133" t="str">
        <x:v>Havza ana akarsuyu ön-eşleme; TATUS spatial query ile doğrulanmalı</x:v>
      </x:c>
      <x:c r="AY57" s="133" t="str">
        <x:v>Polygon</x:v>
      </x:c>
      <x:c r="AZ57" s="133" t="str">
        <x:v>https://cbs1.tarimorman.gov.tr/server/rest/services/TATUS/FeatureServer/9/query?where=1%3D1&amp;geometry=28.129940%2C37.494750&amp;geometryType=esriGeometryPoint&amp;inSR=4326&amp;spatialRel=esriSpatialRelIntersects&amp;outFields=%2A&amp;returnGeometry=true&amp;outSR=4326&amp;resultRecordCount=5&amp;f=geojson</x:v>
      </x:c>
      <x:c r="BA57" s="133" t="str">
        <x:v>Santral popup: Su alanını göster</x:v>
      </x:c>
      <x:c r="BB57" s="133" t="str">
        <x:v>Yüksek</x:v>
      </x:c>
      <x:c r="BC57" s="133"/>
    </x:row>
    <x:row r="58" ht="30" customHeight="1">
      <x:c r="A58" s="100" t="n">
        <x:v>55</x:v>
      </x:c>
      <x:c r="B58" s="32" t="str">
        <x:v>DARICA1 HES</x:v>
      </x:c>
      <x:c r="C58" s="32" t="str">
        <x:v>Doğu Karadeniz</x:v>
      </x:c>
      <x:c r="D58" s="32" t="str">
        <x:v>Doğu Karadeniz</x:v>
      </x:c>
      <x:c r="E58" s="34" t="n">
        <x:v>22</x:v>
      </x:c>
      <x:c r="F58" s="32" t="str">
        <x:v>https://cbs1.tarimorman.gov.tr/server/rest/services/TATUS/FeatureServer/11/query?where=ID%3D22&amp;outFields=ID%2CHAVZA_ADI%2CALAN_KM2&amp;returnGeometry=true&amp;outSR=4326&amp;f=geojson</x:v>
      </x:c>
      <x:c r="G58" s="32" t="str">
        <x:v>DARICA1</x:v>
      </x:c>
      <x:c r="H58" s="32" t="str">
        <x:v>ORDU</x:v>
      </x:c>
      <x:c r="I58" s="36" t="n">
        <x:v>40.707</x:v>
      </x:c>
      <x:c r="J58" s="36" t="n">
        <x:v>37.847</x:v>
      </x:c>
      <x:c r="K58" s="38" t="n">
        <x:v>650</x:v>
      </x:c>
      <x:c r="L58" s="38" t="n">
        <x:v>640</x:v>
      </x:c>
      <x:c r="M58" s="32"/>
      <x:c r="N58" s="38" t="n">
        <x:v>110</x:v>
      </x:c>
      <x:c r="O58" s="38"/>
      <x:c r="P58" s="38"/>
      <x:c r="Q58" s="38"/>
      <x:c r="R58" s="38"/>
      <x:c r="S58" s="38"/>
      <x:c r="T58" s="40"/>
      <x:c r="U58" s="32" t="str">
        <x:v>eşleşme yok</x:v>
      </x:c>
      <x:c r="V58" s="32" t="str">
        <x:v>C</x:v>
      </x:c>
      <x:c r="W58" s="32" t="str">
        <x:v>https://www.enerjiatlasi.com/hidroelektrik/?v=1.0.24</x:v>
      </x:c>
      <x:c r="X58" s="32" t="str">
        <x:v>https://openinframap.org/stats/area/Turkey/plants?source=hydro</x:v>
      </x:c>
      <x:c r="Y58" s="32" t="str">
        <x:v>hes_MERKEZI_LISTESI.xlsx — trafo merkezi koordinatı (yaklaşık)</x:v>
      </x:c>
      <x:c r="Z58" s="32" t="str">
        <x:v>10</x:v>
      </x:c>
      <x:c r="AA58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58" s="133" t="str">
        <x:v>Trafo merkezi koordinatı ile tamamlandı</x:v>
      </x:c>
      <x:c r="AC58" s="133" t="str">
        <x:v>Trafo merkezi / elektrik bağlantı noktası (yaklaşık)</x:v>
      </x:c>
      <x:c r="AD58" s="133" t="n">
        <x:v>806</x:v>
      </x:c>
      <x:c r="AE58" s="133" t="str">
        <x:v>DARICA1 HES</x:v>
      </x:c>
      <x:c r="AF58" s="133" t="str">
        <x:v>Ordu</x:v>
      </x:c>
      <x:c r="AG58" s="134" t="n">
        <x:v>40.707</x:v>
      </x:c>
      <x:c r="AH58" s="134" t="n">
        <x:v>37.847</x:v>
      </x:c>
      <x:c r="AI58" s="133" t="str">
        <x:v>Tam ad eşleşmesi</x:v>
      </x:c>
      <x:c r="AJ58" s="133" t="str">
        <x:v>Yüksek</x:v>
      </x:c>
      <x:c r="AK58" s="135"/>
      <x:c r="AL58" s="133" t="str">
        <x:v>Point</x:v>
      </x:c>
      <x:c r="AM58" s="133" t="str">
        <x:v>{"type": "Point", "coordinates": [37.847, 40.707]}</x:v>
      </x:c>
      <x:c r="AN58" s="133" t="str">
        <x:v>Trafo merkezi / elektrik bağlantı noktası (yaklaşık)</x:v>
      </x:c>
      <x:c r="AO58" s="133"/>
      <x:c r="AP58" s="133"/>
      <x:c r="AQ58" s="134"/>
      <x:c r="AR58" s="134"/>
      <x:c r="AS58" s="133"/>
      <x:c r="AT58" s="133" t="str">
        <x:v>https://cbs1.tarimorman.gov.tr/server/rest/services/TATUS/FeatureServer/7/query?where=HAVZA_ID%3D22+AND+%28BarajAdi%3D%27DARICA1%27%29&amp;outFields=OBJECTID%2CBarajAdi%2CHavzaAdi%2CHAVZA_ID%2CIl&amp;returnGeometry=true&amp;outSR=4326&amp;f=geojson</x:v>
      </x:c>
      <x:c r="AU58" s="133"/>
      <x:c r="AV58" s="133" t="str">
        <x:v>Polyline / LineString</x:v>
      </x:c>
      <x:c r="AW58" s="133" t="str">
        <x:v>https://cbs1.tarimorman.gov.tr/server/rest/services/TATUS/FeatureServer/8/query?where=HAVZA_ID%3D22&amp;geometry=37.847000%2C40.707000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8" s="133" t="str">
        <x:v>TATUS spatial query hazır; en yakın/uygun LineString seçilmeli</x:v>
      </x:c>
      <x:c r="AY58" s="133" t="str">
        <x:v>Polygon</x:v>
      </x:c>
      <x:c r="AZ58" s="133" t="str">
        <x:v>https://cbs1.tarimorman.gov.tr/server/rest/services/TATUS/FeatureServer/9/query?where=1%3D1&amp;geometry=37.847000%2C40.707000&amp;geometryType=esriGeometryPoint&amp;inSR=4326&amp;spatialRel=esriSpatialRelIntersects&amp;outFields=%2A&amp;returnGeometry=true&amp;outSR=4326&amp;resultRecordCount=5&amp;f=geojson</x:v>
      </x:c>
      <x:c r="BA58" s="133" t="str">
        <x:v>Santral popup: Su alanını göster</x:v>
      </x:c>
      <x:c r="BB58" s="133" t="str">
        <x:v>Orta-Düşük</x:v>
      </x:c>
      <x:c r="BC58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59" ht="30" customHeight="1">
      <x:c r="A59" s="100" t="n">
        <x:v>56</x:v>
      </x:c>
      <x:c r="B59" s="32" t="str">
        <x:v>DARICA2 HES</x:v>
      </x:c>
      <x:c r="C59" s="32" t="str">
        <x:v>Doğu Karadeniz</x:v>
      </x:c>
      <x:c r="D59" s="32" t="str">
        <x:v>Doğu Karadeniz</x:v>
      </x:c>
      <x:c r="E59" s="34" t="n">
        <x:v>22</x:v>
      </x:c>
      <x:c r="F59" s="32" t="str">
        <x:v>https://cbs1.tarimorman.gov.tr/server/rest/services/TATUS/FeatureServer/11/query?where=ID%3D22&amp;outFields=ID%2CHAVZA_ADI%2CALAN_KM2&amp;returnGeometry=true&amp;outSR=4326&amp;f=geojson</x:v>
      </x:c>
      <x:c r="G59" s="32" t="str">
        <x:v>DARICA2</x:v>
      </x:c>
      <x:c r="H59" s="32" t="str">
        <x:v>ORDU</x:v>
      </x:c>
      <x:c r="I59" s="36" t="n">
        <x:v>40.719</x:v>
      </x:c>
      <x:c r="J59" s="36" t="n">
        <x:v>37.864</x:v>
      </x:c>
      <x:c r="K59" s="38" t="n">
        <x:v>1395</x:v>
      </x:c>
      <x:c r="L59" s="38" t="n">
        <x:v>1379.5</x:v>
      </x:c>
      <x:c r="M59" s="32"/>
      <x:c r="N59" s="38" t="n">
        <x:v>74</x:v>
      </x:c>
      <x:c r="O59" s="38"/>
      <x:c r="P59" s="38"/>
      <x:c r="Q59" s="38"/>
      <x:c r="R59" s="38"/>
      <x:c r="S59" s="38"/>
      <x:c r="T59" s="40"/>
      <x:c r="U59" s="32" t="str">
        <x:v>eşleşme yok</x:v>
      </x:c>
      <x:c r="V59" s="32" t="str">
        <x:v>C</x:v>
      </x:c>
      <x:c r="W59" s="32" t="str">
        <x:v>https://www.enerjiatlasi.com/hidroelektrik/?v=1.0.24</x:v>
      </x:c>
      <x:c r="X59" s="32" t="str">
        <x:v>https://openinframap.org/stats/area/Turkey/plants?source=hydro</x:v>
      </x:c>
      <x:c r="Y59" s="32" t="str">
        <x:v>hes_MERKEZI_LISTESI.xlsx — trafo merkezi koordinatı (yaklaşık)</x:v>
      </x:c>
      <x:c r="Z59" s="32" t="str">
        <x:v>10</x:v>
      </x:c>
      <x:c r="AA59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59" s="133" t="str">
        <x:v>Trafo merkezi koordinatı ile tamamlandı</x:v>
      </x:c>
      <x:c r="AC59" s="133" t="str">
        <x:v>Trafo merkezi / elektrik bağlantı noktası (yaklaşık)</x:v>
      </x:c>
      <x:c r="AD59" s="133" t="n">
        <x:v>1474</x:v>
      </x:c>
      <x:c r="AE59" s="133" t="str">
        <x:v>DARICA2 HES</x:v>
      </x:c>
      <x:c r="AF59" s="133" t="str">
        <x:v>Ordu</x:v>
      </x:c>
      <x:c r="AG59" s="134" t="n">
        <x:v>40.719</x:v>
      </x:c>
      <x:c r="AH59" s="134" t="n">
        <x:v>37.864</x:v>
      </x:c>
      <x:c r="AI59" s="133" t="str">
        <x:v>Tam ad eşleşmesi</x:v>
      </x:c>
      <x:c r="AJ59" s="133" t="str">
        <x:v>Yüksek</x:v>
      </x:c>
      <x:c r="AK59" s="135"/>
      <x:c r="AL59" s="133" t="str">
        <x:v>Point</x:v>
      </x:c>
      <x:c r="AM59" s="133" t="str">
        <x:v>{"type": "Point", "coordinates": [37.864, 40.719]}</x:v>
      </x:c>
      <x:c r="AN59" s="133" t="str">
        <x:v>Trafo merkezi / elektrik bağlantı noktası (yaklaşık)</x:v>
      </x:c>
      <x:c r="AO59" s="133"/>
      <x:c r="AP59" s="133"/>
      <x:c r="AQ59" s="134"/>
      <x:c r="AR59" s="134"/>
      <x:c r="AS59" s="133"/>
      <x:c r="AT59" s="133" t="str">
        <x:v>https://cbs1.tarimorman.gov.tr/server/rest/services/TATUS/FeatureServer/7/query?where=HAVZA_ID%3D22+AND+%28BarajAdi%3D%27DARICA2%27%29&amp;outFields=OBJECTID%2CBarajAdi%2CHavzaAdi%2CHAVZA_ID%2CIl&amp;returnGeometry=true&amp;outSR=4326&amp;f=geojson</x:v>
      </x:c>
      <x:c r="AU59" s="133"/>
      <x:c r="AV59" s="133" t="str">
        <x:v>Polyline / LineString</x:v>
      </x:c>
      <x:c r="AW59" s="133" t="str">
        <x:v>https://cbs1.tarimorman.gov.tr/server/rest/services/TATUS/FeatureServer/8/query?where=HAVZA_ID%3D22&amp;geometry=37.864000%2C40.719000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59" s="133" t="str">
        <x:v>TATUS spatial query hazır; en yakın/uygun LineString seçilmeli</x:v>
      </x:c>
      <x:c r="AY59" s="133" t="str">
        <x:v>Polygon</x:v>
      </x:c>
      <x:c r="AZ59" s="133" t="str">
        <x:v>https://cbs1.tarimorman.gov.tr/server/rest/services/TATUS/FeatureServer/9/query?where=1%3D1&amp;geometry=37.864000%2C40.719000&amp;geometryType=esriGeometryPoint&amp;inSR=4326&amp;spatialRel=esriSpatialRelIntersects&amp;outFields=%2A&amp;returnGeometry=true&amp;outSR=4326&amp;resultRecordCount=5&amp;f=geojson</x:v>
      </x:c>
      <x:c r="BA59" s="133" t="str">
        <x:v>Santral popup: Su alanını göster</x:v>
      </x:c>
      <x:c r="BB59" s="133" t="str">
        <x:v>Orta-Düşük</x:v>
      </x:c>
      <x:c r="BC59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60" ht="30" customHeight="1">
      <x:c r="A60" s="100" t="n">
        <x:v>57</x:v>
      </x:c>
      <x:c r="B60" s="32" t="str">
        <x:v>DEMİRKÖPRÜ HES</x:v>
      </x:c>
      <x:c r="C60" s="32" t="str">
        <x:v>Gediz</x:v>
      </x:c>
      <x:c r="D60" s="32" t="str">
        <x:v>Gediz</x:v>
      </x:c>
      <x:c r="E60" s="34" t="n">
        <x:v>5</x:v>
      </x:c>
      <x:c r="F60" s="32" t="str">
        <x:v>https://cbs1.tarimorman.gov.tr/server/rest/services/TATUS/FeatureServer/11/query?where=ID%3D5&amp;outFields=ID%2CHAVZA_ADI%2CALAN_KM2&amp;returnGeometry=true&amp;outSR=4326&amp;f=geojson</x:v>
      </x:c>
      <x:c r="G60" s="32" t="str">
        <x:v>DEMİRKÖPRÜ</x:v>
      </x:c>
      <x:c r="H60" s="32" t="str">
        <x:v>MANİSA</x:v>
      </x:c>
      <x:c r="I60" s="36" t="n">
        <x:v>38.603</x:v>
      </x:c>
      <x:c r="J60" s="36" t="n">
        <x:v>28.291</x:v>
      </x:c>
      <x:c r="K60" s="38" t="n">
        <x:v>244.2</x:v>
      </x:c>
      <x:c r="L60" s="38" t="n">
        <x:v>221.8</x:v>
      </x:c>
      <x:c r="M60" s="32"/>
      <x:c r="N60" s="38" t="n">
        <x:v>69</x:v>
      </x:c>
      <x:c r="O60" s="38" t="n">
        <x:v>73.8</x:v>
      </x:c>
      <x:c r="P60" s="38" t="n">
        <x:v>1014.22</x:v>
      </x:c>
      <x:c r="Q60" s="38" t="n">
        <x:v>249.66</x:v>
      </x:c>
      <x:c r="R60" s="38" t="n">
        <x:v>332.42</x:v>
      </x:c>
      <x:c r="S60" s="38" t="n">
        <x:v>87.64</x:v>
      </x:c>
      <x:c r="T60" s="40" t="n">
        <x:v>46278.81434027778</x:v>
      </x:c>
      <x:c r="U60" s="32" t="str">
        <x:v>exact</x:v>
      </x:c>
      <x:c r="V60" s="32" t="str">
        <x:v>B</x:v>
      </x:c>
      <x:c r="W60" s="32" t="str">
        <x:v>Yüklü Debi_ve_Kurulu_Guc-13092026.xlsx</x:v>
      </x:c>
      <x:c r="X60" s="32" t="str">
        <x:v>Yüklü Debi_ve_Kurulu_Guc-13092026.xlsx</x:v>
      </x:c>
      <x:c r="Y60" s="32" t="str">
        <x:v>hes_MERKEZI_LISTESI.xlsx — trafo merkezi koordinatı (yaklaşık)</x:v>
      </x:c>
      <x:c r="Z60" s="32" t="str">
        <x:v>10</x:v>
      </x:c>
      <x:c r="AA60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60" s="133" t="str">
        <x:v>Trafo merkezi koordinatı ile tamamlandı</x:v>
      </x:c>
      <x:c r="AC60" s="133" t="str">
        <x:v>Trafo merkezi / elektrik bağlantı noktası (yaklaşık)</x:v>
      </x:c>
      <x:c r="AD60" s="133" t="n">
        <x:v>155</x:v>
      </x:c>
      <x:c r="AE60" s="133" t="str">
        <x:v>DEMİRKÖPRÜ HES</x:v>
      </x:c>
      <x:c r="AF60" s="133" t="str">
        <x:v>Manisa</x:v>
      </x:c>
      <x:c r="AG60" s="134" t="n">
        <x:v>38.603</x:v>
      </x:c>
      <x:c r="AH60" s="134" t="n">
        <x:v>28.291</x:v>
      </x:c>
      <x:c r="AI60" s="133" t="str">
        <x:v>Tam ad eşleşmesi</x:v>
      </x:c>
      <x:c r="AJ60" s="133" t="str">
        <x:v>Yüksek</x:v>
      </x:c>
      <x:c r="AK60" s="135"/>
      <x:c r="AL60" s="133" t="str">
        <x:v>Point</x:v>
      </x:c>
      <x:c r="AM60" s="133" t="str">
        <x:v>{"type": "Point", "coordinates": [28.291, 38.603]}</x:v>
      </x:c>
      <x:c r="AN60" s="133" t="str">
        <x:v>Trafo merkezi / elektrik bağlantı noktası (yaklaşık)</x:v>
      </x:c>
      <x:c r="AO60" s="133"/>
      <x:c r="AP60" s="133"/>
      <x:c r="AQ60" s="134"/>
      <x:c r="AR60" s="134"/>
      <x:c r="AS60" s="133"/>
      <x:c r="AT60" s="133" t="str">
        <x:v>https://cbs1.tarimorman.gov.tr/server/rest/services/TATUS/FeatureServer/7/query?where=HAVZA_ID%3D5+AND+%28BarajAdi%3D%27DEM%C4%B0RK%C3%96PR%C3%9C%27%29&amp;outFields=OBJECTID%2CBarajAdi%2CHavzaAdi%2CHAVZA_ID%2CIl&amp;returnGeometry=true&amp;outSR=4326&amp;f=geojson</x:v>
      </x:c>
      <x:c r="AU60" s="133" t="str">
        <x:v>Gediz</x:v>
      </x:c>
      <x:c r="AV60" s="133" t="str">
        <x:v>Polyline / LineString</x:v>
      </x:c>
      <x:c r="AW60" s="133" t="str">
        <x:v>https://cbs1.tarimorman.gov.tr/server/rest/services/TATUS/FeatureServer/8/query?where=HAVZA_ID%3D5&amp;geometry=28.291000%2C38.603000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0" s="133" t="str">
        <x:v>Havza ana akarsuyu ön-eşleme; TATUS spatial query ile doğrulanmalı</x:v>
      </x:c>
      <x:c r="AY60" s="133" t="str">
        <x:v>Polygon</x:v>
      </x:c>
      <x:c r="AZ60" s="133" t="str">
        <x:v>https://cbs1.tarimorman.gov.tr/server/rest/services/TATUS/FeatureServer/9/query?where=1%3D1&amp;geometry=28.291000%2C38.603000&amp;geometryType=esriGeometryPoint&amp;inSR=4326&amp;spatialRel=esriSpatialRelIntersects&amp;outFields=%2A&amp;returnGeometry=true&amp;outSR=4326&amp;resultRecordCount=5&amp;f=geojson</x:v>
      </x:c>
      <x:c r="BA60" s="133" t="str">
        <x:v>Santral popup: Su alanını göster</x:v>
      </x:c>
      <x:c r="BB60" s="133" t="str">
        <x:v>Orta-Düşük</x:v>
      </x:c>
      <x:c r="BC60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61" ht="30" customHeight="1">
      <x:c r="A61" s="100" t="n">
        <x:v>58</x:v>
      </x:c>
      <x:c r="B61" s="32" t="str">
        <x:v>DERBENT HES</x:v>
      </x:c>
      <x:c r="C61" s="32" t="str">
        <x:v>Kızılırmak</x:v>
      </x:c>
      <x:c r="D61" s="32" t="str">
        <x:v>Kızılırmak</x:v>
      </x:c>
      <x:c r="E61" s="34" t="n">
        <x:v>15</x:v>
      </x:c>
      <x:c r="F61" s="32" t="str">
        <x:v>https://cbs1.tarimorman.gov.tr/server/rest/services/TATUS/FeatureServer/11/query?where=ID%3D15&amp;outFields=ID%2CHAVZA_ADI%2CALAN_KM2&amp;returnGeometry=true&amp;outSR=4326&amp;f=geojson</x:v>
      </x:c>
      <x:c r="G61" s="32" t="str">
        <x:v>DERBENT</x:v>
      </x:c>
      <x:c r="H61" s="32" t="str">
        <x:v>SAMSUN</x:v>
      </x:c>
      <x:c r="I61" s="36" t="n">
        <x:v>41.46121</x:v>
      </x:c>
      <x:c r="J61" s="36" t="n">
        <x:v>35.84174</x:v>
      </x:c>
      <x:c r="K61" s="38" t="n">
        <x:v>57.5</x:v>
      </x:c>
      <x:c r="L61" s="38" t="n">
        <x:v>54.5</x:v>
      </x:c>
      <x:c r="M61" s="32"/>
      <x:c r="N61" s="38" t="n">
        <x:v>56.4</x:v>
      </x:c>
      <x:c r="O61" s="38" t="n">
        <x:v>121.4</x:v>
      </x:c>
      <x:c r="P61" s="38" t="n">
        <x:v>190.01</x:v>
      </x:c>
      <x:c r="Q61" s="38" t="n">
        <x:v>145.82</x:v>
      </x:c>
      <x:c r="R61" s="38" t="n">
        <x:v>27.98</x:v>
      </x:c>
      <x:c r="S61" s="38" t="n">
        <x:v>1.52</x:v>
      </x:c>
      <x:c r="T61" s="40" t="n">
        <x:v>46278.81434027778</x:v>
      </x:c>
      <x:c r="U61" s="32" t="str">
        <x:v>exact</x:v>
      </x:c>
      <x:c r="V61" s="32" t="str">
        <x:v>A</x:v>
      </x:c>
      <x:c r="W61" s="32" t="str">
        <x:v>Yüklü Debi_ve_Kurulu_Guc-13092026.xlsx</x:v>
      </x:c>
      <x:c r="X61" s="32" t="str">
        <x:v>Yüklü Debi_ve_Kurulu_Guc-13092026.xlsx</x:v>
      </x:c>
      <x:c r="Y61" s="32" t="str">
        <x:v>https://cbs1.tarimorman.gov.tr/server/rest/services/TATUS/FeatureServer/7</x:v>
      </x:c>
      <x:c r="Z61" s="32" t="str">
        <x:v>10</x:v>
      </x:c>
      <x:c r="AA61" s="101" t="str">
        <x:v>Kaskat alanında kaynak değeri '10' (belirsiz/sentinel)</x:v>
      </x:c>
      <x:c r="AB61" s="133" t="str">
        <x:v>Doğrulanmış koordinat mevcut</x:v>
      </x:c>
      <x:c r="AC61" s="133" t="str">
        <x:v>HES / baraj noktası</x:v>
      </x:c>
      <x:c r="AD61" s="133" t="n">
        <x:v>580</x:v>
      </x:c>
      <x:c r="AE61" s="133" t="str">
        <x:v>DERBENT HES</x:v>
      </x:c>
      <x:c r="AF61" s="133" t="str">
        <x:v>Samsun</x:v>
      </x:c>
      <x:c r="AG61" s="134" t="n">
        <x:v>41.466</x:v>
      </x:c>
      <x:c r="AH61" s="134" t="n">
        <x:v>35.844</x:v>
      </x:c>
      <x:c r="AI61" s="133" t="str">
        <x:v>Tam ad eşleşmesi</x:v>
      </x:c>
      <x:c r="AJ61" s="133" t="str">
        <x:v>Yüksek</x:v>
      </x:c>
      <x:c r="AK61" s="135" t="n">
        <x:v>0.565</x:v>
      </x:c>
      <x:c r="AL61" s="133" t="str">
        <x:v>Point</x:v>
      </x:c>
      <x:c r="AM61" s="133" t="str">
        <x:v>{"type": "Point", "coordinates": [35.84174, 41.46121]}</x:v>
      </x:c>
      <x:c r="AN61" s="133" t="str">
        <x:v>TATUS Baraj Gözlem Point</x:v>
      </x:c>
      <x:c r="AO61" s="133" t="str">
        <x:v>DERBENT</x:v>
      </x:c>
      <x:c r="AP61" s="133" t="n">
        <x:v>1</x:v>
      </x:c>
      <x:c r="AQ61" s="134" t="n">
        <x:v>41.46121</x:v>
      </x:c>
      <x:c r="AR61" s="134" t="n">
        <x:v>35.84174</x:v>
      </x:c>
      <x:c r="AS61" s="133" t="str">
        <x:v>{"type": "Point", "coordinates": [35.84174, 41.46121]}</x:v>
      </x:c>
      <x:c r="AT61" s="133" t="str">
        <x:v>https://cbs1.tarimorman.gov.tr/server/rest/services/TATUS/FeatureServer/7/query?where=HAVZA_ID%3D15+AND+%28BarajAdi%3D%27DERBENT%27%29&amp;outFields=OBJECTID%2CBarajAdi%2CHavzaAdi%2CHAVZA_ID%2CIl&amp;returnGeometry=true&amp;outSR=4326&amp;f=geojson</x:v>
      </x:c>
      <x:c r="AU61" s="133" t="str">
        <x:v>Kızılırmak</x:v>
      </x:c>
      <x:c r="AV61" s="133" t="str">
        <x:v>Polyline / LineString</x:v>
      </x:c>
      <x:c r="AW61" s="133" t="str">
        <x:v>https://cbs1.tarimorman.gov.tr/server/rest/services/TATUS/FeatureServer/8/query?where=HAVZA_ID%3D15&amp;geometry=35.841740%2C41.461210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1" s="133" t="str">
        <x:v>Havza ana akarsuyu ön-eşleme; TATUS spatial query ile doğrulanmalı</x:v>
      </x:c>
      <x:c r="AY61" s="133" t="str">
        <x:v>Polygon</x:v>
      </x:c>
      <x:c r="AZ61" s="133" t="str">
        <x:v>https://cbs1.tarimorman.gov.tr/server/rest/services/TATUS/FeatureServer/9/query?where=1%3D1&amp;geometry=35.841740%2C41.461210&amp;geometryType=esriGeometryPoint&amp;inSR=4326&amp;spatialRel=esriSpatialRelIntersects&amp;outFields=%2A&amp;returnGeometry=true&amp;outSR=4326&amp;resultRecordCount=5&amp;f=geojson</x:v>
      </x:c>
      <x:c r="BA61" s="133" t="str">
        <x:v>Santral popup: Su alanını göster</x:v>
      </x:c>
      <x:c r="BB61" s="133" t="str">
        <x:v>Yüksek</x:v>
      </x:c>
      <x:c r="BC61" s="133"/>
    </x:row>
    <x:row r="62" ht="30" customHeight="1">
      <x:c r="A62" s="100" t="n">
        <x:v>59</x:v>
      </x:c>
      <x:c r="B62" s="32" t="str">
        <x:v>DERİNER HES</x:v>
      </x:c>
      <x:c r="C62" s="32" t="str">
        <x:v>Çoruh</x:v>
      </x:c>
      <x:c r="D62" s="32" t="str">
        <x:v>Çoruh</x:v>
      </x:c>
      <x:c r="E62" s="34" t="n">
        <x:v>23</x:v>
      </x:c>
      <x:c r="F62" s="32" t="str">
        <x:v>https://cbs1.tarimorman.gov.tr/server/rest/services/TATUS/FeatureServer/11/query?where=ID%3D23&amp;outFields=ID%2CHAVZA_ADI%2CALAN_KM2&amp;returnGeometry=true&amp;outSR=4326&amp;f=geojson</x:v>
      </x:c>
      <x:c r="G62" s="32" t="str">
        <x:v>DERİNER</x:v>
      </x:c>
      <x:c r="H62" s="32" t="str">
        <x:v>ARTVİN</x:v>
      </x:c>
      <x:c r="I62" s="36" t="n">
        <x:v>41.172</x:v>
      </x:c>
      <x:c r="J62" s="36" t="n">
        <x:v>41.869</x:v>
      </x:c>
      <x:c r="K62" s="38" t="n">
        <x:v>392</x:v>
      </x:c>
      <x:c r="L62" s="38" t="n">
        <x:v>347.83</x:v>
      </x:c>
      <x:c r="M62" s="32" t="str">
        <x:v>BORÇKA HES</x:v>
      </x:c>
      <x:c r="N62" s="38" t="n">
        <x:v>670</x:v>
      </x:c>
      <x:c r="O62" s="38"/>
      <x:c r="P62" s="38"/>
      <x:c r="Q62" s="38"/>
      <x:c r="R62" s="38"/>
      <x:c r="S62" s="38"/>
      <x:c r="T62" s="40"/>
      <x:c r="U62" s="32" t="str">
        <x:v>eşleşme yok</x:v>
      </x:c>
      <x:c r="V62" s="32" t="str">
        <x:v>C</x:v>
      </x:c>
      <x:c r="W62" s="32" t="str">
        <x:v>https://openinframap.org/stats/area/Turkey/plants?source=hydro</x:v>
      </x:c>
      <x:c r="X62" s="32" t="str">
        <x:v>https://openinframap.org/stats/area/Turkey/plants?source=hydro</x:v>
      </x:c>
      <x:c r="Y62" s="32" t="str">
        <x:v>hes_MERKEZI_LISTESI.xlsx — trafo merkezi koordinatı (yaklaşık)</x:v>
      </x:c>
      <x:c r="Z62" s="32" t="str">
        <x:v>BORÇKA HES</x:v>
      </x:c>
      <x:c r="AA62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62" s="133" t="str">
        <x:v>Trafo merkezi koordinatı ile tamamlandı</x:v>
      </x:c>
      <x:c r="AC62" s="133" t="str">
        <x:v>Trafo merkezi / elektrik bağlantı noktası (yaklaşık)</x:v>
      </x:c>
      <x:c r="AD62" s="133" t="n">
        <x:v>1059</x:v>
      </x:c>
      <x:c r="AE62" s="133" t="str">
        <x:v>DERİNER HES</x:v>
      </x:c>
      <x:c r="AF62" s="133" t="str">
        <x:v>Artvin</x:v>
      </x:c>
      <x:c r="AG62" s="134" t="n">
        <x:v>41.172</x:v>
      </x:c>
      <x:c r="AH62" s="134" t="n">
        <x:v>41.869</x:v>
      </x:c>
      <x:c r="AI62" s="133" t="str">
        <x:v>Tam ad eşleşmesi</x:v>
      </x:c>
      <x:c r="AJ62" s="133" t="str">
        <x:v>Yüksek</x:v>
      </x:c>
      <x:c r="AK62" s="135"/>
      <x:c r="AL62" s="133" t="str">
        <x:v>Point</x:v>
      </x:c>
      <x:c r="AM62" s="133" t="str">
        <x:v>{"type": "Point", "coordinates": [41.869, 41.172]}</x:v>
      </x:c>
      <x:c r="AN62" s="133" t="str">
        <x:v>Trafo merkezi / elektrik bağlantı noktası (yaklaşık)</x:v>
      </x:c>
      <x:c r="AO62" s="133"/>
      <x:c r="AP62" s="133"/>
      <x:c r="AQ62" s="134"/>
      <x:c r="AR62" s="134"/>
      <x:c r="AS62" s="133"/>
      <x:c r="AT62" s="133" t="str">
        <x:v>https://cbs1.tarimorman.gov.tr/server/rest/services/TATUS/FeatureServer/7/query?where=HAVZA_ID%3D23+AND+%28BarajAdi%3D%27DER%C4%B0NER%27%29&amp;outFields=OBJECTID%2CBarajAdi%2CHavzaAdi%2CHAVZA_ID%2CIl&amp;returnGeometry=true&amp;outSR=4326&amp;f=geojson</x:v>
      </x:c>
      <x:c r="AU62" s="133" t="str">
        <x:v>Çoruh</x:v>
      </x:c>
      <x:c r="AV62" s="133" t="str">
        <x:v>Polyline / LineString</x:v>
      </x:c>
      <x:c r="AW62" s="133" t="str">
        <x:v>https://cbs1.tarimorman.gov.tr/server/rest/services/TATUS/FeatureServer/8/query?where=HAVZA_ID%3D23&amp;geometry=41.869000%2C41.172000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2" s="133" t="str">
        <x:v>Havza ana akarsuyu ön-eşleme; TATUS spatial query ile doğrulanmalı</x:v>
      </x:c>
      <x:c r="AY62" s="133" t="str">
        <x:v>Polygon</x:v>
      </x:c>
      <x:c r="AZ62" s="133" t="str">
        <x:v>https://cbs1.tarimorman.gov.tr/server/rest/services/TATUS/FeatureServer/9/query?where=1%3D1&amp;geometry=41.869000%2C41.172000&amp;geometryType=esriGeometryPoint&amp;inSR=4326&amp;spatialRel=esriSpatialRelIntersects&amp;outFields=%2A&amp;returnGeometry=true&amp;outSR=4326&amp;resultRecordCount=5&amp;f=geojson</x:v>
      </x:c>
      <x:c r="BA62" s="133" t="str">
        <x:v>Santral popup: Su alanını göster</x:v>
      </x:c>
      <x:c r="BB62" s="133" t="str">
        <x:v>Orta-Düşük</x:v>
      </x:c>
      <x:c r="BC6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63" ht="30" customHeight="1">
      <x:c r="A63" s="100" t="n">
        <x:v>60</x:v>
      </x:c>
      <x:c r="B63" s="32" t="str">
        <x:v>DEVECİ KONAĞI HES</x:v>
      </x:c>
      <x:c r="C63" s="32" t="str">
        <x:v>Susurluk</x:v>
      </x:c>
      <x:c r="D63" s="32" t="str">
        <x:v>Susurluk</x:v>
      </x:c>
      <x:c r="E63" s="34" t="n">
        <x:v>3</x:v>
      </x:c>
      <x:c r="F63" s="32" t="str">
        <x:v>https://cbs1.tarimorman.gov.tr/server/rest/services/TATUS/FeatureServer/11/query?where=ID%3D3&amp;outFields=ID%2CHAVZA_ADI%2CALAN_KM2&amp;returnGeometry=true&amp;outSR=4326&amp;f=geojson</x:v>
      </x:c>
      <x:c r="G63" s="32" t="str">
        <x:v>DEVECİKONAĞI</x:v>
      </x:c>
      <x:c r="H63" s="32" t="str">
        <x:v>BURSA</x:v>
      </x:c>
      <x:c r="I63" s="36" t="n">
        <x:v>39.877</x:v>
      </x:c>
      <x:c r="J63" s="36" t="n">
        <x:v>28.576</x:v>
      </x:c>
      <x:c r="K63" s="38" t="n">
        <x:v>95.4</x:v>
      </x:c>
      <x:c r="L63" s="38" t="n">
        <x:v>90</x:v>
      </x:c>
      <x:c r="M63" s="32"/>
      <x:c r="N63" s="38" t="n">
        <x:v>28.9</x:v>
      </x:c>
      <x:c r="O63" s="38" t="n">
        <x:v>120</x:v>
      </x:c>
      <x:c r="P63" s="38" t="n">
        <x:v>6.21</x:v>
      </x:c>
      <x:c r="Q63" s="38" t="n">
        <x:v>4.33</x:v>
      </x:c>
      <x:c r="R63" s="38" t="n">
        <x:v>1.52</x:v>
      </x:c>
      <x:c r="S63" s="38" t="n">
        <x:v>0.1</x:v>
      </x:c>
      <x:c r="T63" s="40" t="n">
        <x:v>46278.81434027778</x:v>
      </x:c>
      <x:c r="U63" s="32" t="str">
        <x:v>alias</x:v>
      </x:c>
      <x:c r="V63" s="32" t="str">
        <x:v>B</x:v>
      </x:c>
      <x:c r="W63" s="32" t="str">
        <x:v>Yüklü Debi_ve_Kurulu_Guc-13092026.xlsx</x:v>
      </x:c>
      <x:c r="X63" s="32" t="str">
        <x:v>Yüklü Debi_ve_Kurulu_Guc-13092026.xlsx</x:v>
      </x:c>
      <x:c r="Y63" s="32" t="str">
        <x:v>hes_MERKEZI_LISTESI.xlsx — trafo merkezi koordinatı (yaklaşık)</x:v>
      </x:c>
      <x:c r="Z63" s="32" t="str">
        <x:v>10</x:v>
      </x:c>
      <x:c r="AA63" s="101" t="str">
        <x:v>Baraj adı eşleşmesi: DEVECİKONAĞI;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63" s="133" t="str">
        <x:v>Trafo merkezi koordinatı ile tamamlandı</x:v>
      </x:c>
      <x:c r="AC63" s="133" t="str">
        <x:v>Trafo merkezi / elektrik bağlantı noktası (yaklaşık)</x:v>
      </x:c>
      <x:c r="AD63" s="133" t="n">
        <x:v>1042</x:v>
      </x:c>
      <x:c r="AE63" s="133" t="str">
        <x:v>DEVECİKONAĞI HES</x:v>
      </x:c>
      <x:c r="AF63" s="133" t="str">
        <x:v>Bursa</x:v>
      </x:c>
      <x:c r="AG63" s="134" t="n">
        <x:v>39.877</x:v>
      </x:c>
      <x:c r="AH63" s="134" t="n">
        <x:v>28.576</x:v>
      </x:c>
      <x:c r="AI63" s="133" t="str">
        <x:v>Kontrollü ad/alias eşleşmesi</x:v>
      </x:c>
      <x:c r="AJ63" s="133" t="str">
        <x:v>Orta-Yüksek</x:v>
      </x:c>
      <x:c r="AK63" s="135"/>
      <x:c r="AL63" s="133" t="str">
        <x:v>Point</x:v>
      </x:c>
      <x:c r="AM63" s="133" t="str">
        <x:v>{"type": "Point", "coordinates": [28.576, 39.877]}</x:v>
      </x:c>
      <x:c r="AN63" s="133" t="str">
        <x:v>Trafo merkezi / elektrik bağlantı noktası (yaklaşık)</x:v>
      </x:c>
      <x:c r="AO63" s="133"/>
      <x:c r="AP63" s="133"/>
      <x:c r="AQ63" s="134"/>
      <x:c r="AR63" s="134"/>
      <x:c r="AS63" s="133"/>
      <x:c r="AT63" s="133" t="str">
        <x:v>https://cbs1.tarimorman.gov.tr/server/rest/services/TATUS/FeatureServer/7/query?where=HAVZA_ID%3D3+AND+%28BarajAdi%3D%27DEVEC%C4%B0KONA%C4%9EI%27+OR+BarajAdi%3D%27DEVEC%C4%B0+KONA%C4%9EI%27%29&amp;outFields=OBJECTID%2CBarajAdi%2CHavzaAdi%2CHAVZA_ID%2CIl&amp;returnGeometry=true&amp;outSR=4326&amp;f=geojson</x:v>
      </x:c>
      <x:c r="AU63" s="133" t="str">
        <x:v>Susurluk</x:v>
      </x:c>
      <x:c r="AV63" s="133" t="str">
        <x:v>Polyline / LineString</x:v>
      </x:c>
      <x:c r="AW63" s="133" t="str">
        <x:v>https://cbs1.tarimorman.gov.tr/server/rest/services/TATUS/FeatureServer/8/query?where=HAVZA_ID%3D3&amp;geometry=28.576000%2C39.877000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3" s="133" t="str">
        <x:v>Havza ana akarsuyu ön-eşleme; TATUS spatial query ile doğrulanmalı</x:v>
      </x:c>
      <x:c r="AY63" s="133" t="str">
        <x:v>Polygon</x:v>
      </x:c>
      <x:c r="AZ63" s="133" t="str">
        <x:v>https://cbs1.tarimorman.gov.tr/server/rest/services/TATUS/FeatureServer/9/query?where=1%3D1&amp;geometry=28.576000%2C39.877000&amp;geometryType=esriGeometryPoint&amp;inSR=4326&amp;spatialRel=esriSpatialRelIntersects&amp;outFields=%2A&amp;returnGeometry=true&amp;outSR=4326&amp;resultRecordCount=5&amp;f=geojson</x:v>
      </x:c>
      <x:c r="BA63" s="133" t="str">
        <x:v>Santral popup: Su alanını göster</x:v>
      </x:c>
      <x:c r="BB63" s="133" t="str">
        <x:v>Orta-Düşük</x:v>
      </x:c>
      <x:c r="BC63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64" ht="30" customHeight="1">
      <x:c r="A64" s="100" t="n">
        <x:v>61</x:v>
      </x:c>
      <x:c r="B64" s="32" t="str">
        <x:v>DİCLE HES</x:v>
      </x:c>
      <x:c r="C64" s="32" t="str">
        <x:v>Fırat Dicle</x:v>
      </x:c>
      <x:c r="D64" s="32" t="str">
        <x:v>Fırat-Dicle</x:v>
      </x:c>
      <x:c r="E64" s="34" t="n">
        <x:v>21</x:v>
      </x:c>
      <x:c r="F64" s="32" t="str">
        <x:v>https://cbs1.tarimorman.gov.tr/server/rest/services/TATUS/FeatureServer/11/query?where=ID%3D21&amp;outFields=ID%2CHAVZA_ADI%2CALAN_KM2&amp;returnGeometry=true&amp;outSR=4326&amp;f=geojson</x:v>
      </x:c>
      <x:c r="G64" s="32" t="str">
        <x:v>DİCLE</x:v>
      </x:c>
      <x:c r="H64" s="32" t="str">
        <x:v>DİYARBAKIR</x:v>
      </x:c>
      <x:c r="I64" s="36" t="n">
        <x:v>38.229</x:v>
      </x:c>
      <x:c r="J64" s="36" t="n">
        <x:v>40.175</x:v>
      </x:c>
      <x:c r="K64" s="38" t="n">
        <x:v>715</x:v>
      </x:c>
      <x:c r="L64" s="38" t="n">
        <x:v>697</x:v>
      </x:c>
      <x:c r="M64" s="32" t="str">
        <x:v>ILISU HES</x:v>
      </x:c>
      <x:c r="N64" s="38" t="n">
        <x:v>110</x:v>
      </x:c>
      <x:c r="O64" s="38"/>
      <x:c r="P64" s="38"/>
      <x:c r="Q64" s="38"/>
      <x:c r="R64" s="38"/>
      <x:c r="S64" s="38"/>
      <x:c r="T64" s="40"/>
      <x:c r="U64" s="32" t="str">
        <x:v>eşleşme yok</x:v>
      </x:c>
      <x:c r="V64" s="32" t="str">
        <x:v>C</x:v>
      </x:c>
      <x:c r="W64" s="32" t="str">
        <x:v>https://openinframap.org/stats/area/Turkey/plants?source=hydro</x:v>
      </x:c>
      <x:c r="X64" s="32" t="str">
        <x:v>https://openinframap.org/stats/area/Turkey/plants?source=hydro</x:v>
      </x:c>
      <x:c r="Y64" s="32" t="str">
        <x:v>hes_MERKEZI_LISTESI.xlsx — trafo merkezi koordinatı (yaklaşık)</x:v>
      </x:c>
      <x:c r="Z64" s="32" t="str">
        <x:v>ILISU HES</x:v>
      </x:c>
      <x:c r="AA64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64" s="133" t="str">
        <x:v>Trafo merkezi koordinatı ile tamamlandı</x:v>
      </x:c>
      <x:c r="AC64" s="133" t="str">
        <x:v>Trafo merkezi / elektrik bağlantı noktası (yaklaşık)</x:v>
      </x:c>
      <x:c r="AD64" s="133" t="n">
        <x:v>105</x:v>
      </x:c>
      <x:c r="AE64" s="133" t="str">
        <x:v>DİCLE HES</x:v>
      </x:c>
      <x:c r="AF64" s="133" t="str">
        <x:v>Diyarbakır</x:v>
      </x:c>
      <x:c r="AG64" s="134" t="n">
        <x:v>38.229</x:v>
      </x:c>
      <x:c r="AH64" s="134" t="n">
        <x:v>40.175</x:v>
      </x:c>
      <x:c r="AI64" s="133" t="str">
        <x:v>Tam ad eşleşmesi</x:v>
      </x:c>
      <x:c r="AJ64" s="133" t="str">
        <x:v>Yüksek</x:v>
      </x:c>
      <x:c r="AK64" s="135"/>
      <x:c r="AL64" s="133" t="str">
        <x:v>Point</x:v>
      </x:c>
      <x:c r="AM64" s="133" t="str">
        <x:v>{"type": "Point", "coordinates": [40.175, 38.229]}</x:v>
      </x:c>
      <x:c r="AN64" s="133" t="str">
        <x:v>Trafo merkezi / elektrik bağlantı noktası (yaklaşık)</x:v>
      </x:c>
      <x:c r="AO64" s="133"/>
      <x:c r="AP64" s="133"/>
      <x:c r="AQ64" s="134"/>
      <x:c r="AR64" s="134"/>
      <x:c r="AS64" s="133"/>
      <x:c r="AT64" s="133" t="str">
        <x:v>https://cbs1.tarimorman.gov.tr/server/rest/services/TATUS/FeatureServer/7/query?where=HAVZA_ID%3D21+AND+%28BarajAdi%3D%27D%C4%B0CLE%27%29&amp;outFields=OBJECTID%2CBarajAdi%2CHavzaAdi%2CHAVZA_ID%2CIl&amp;returnGeometry=true&amp;outSR=4326&amp;f=geojson</x:v>
      </x:c>
      <x:c r="AU64" s="133"/>
      <x:c r="AV64" s="133" t="str">
        <x:v>Polyline / LineString</x:v>
      </x:c>
      <x:c r="AW64" s="133" t="str">
        <x:v>https://cbs1.tarimorman.gov.tr/server/rest/services/TATUS/FeatureServer/8/query?where=HAVZA_ID%3D21&amp;geometry=40.175000%2C38.229000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4" s="133" t="str">
        <x:v>TATUS spatial query hazır; en yakın/uygun LineString seçilmeli</x:v>
      </x:c>
      <x:c r="AY64" s="133" t="str">
        <x:v>Polygon</x:v>
      </x:c>
      <x:c r="AZ64" s="133" t="str">
        <x:v>https://cbs1.tarimorman.gov.tr/server/rest/services/TATUS/FeatureServer/9/query?where=1%3D1&amp;geometry=40.175000%2C38.229000&amp;geometryType=esriGeometryPoint&amp;inSR=4326&amp;spatialRel=esriSpatialRelIntersects&amp;outFields=%2A&amp;returnGeometry=true&amp;outSR=4326&amp;resultRecordCount=5&amp;f=geojson</x:v>
      </x:c>
      <x:c r="BA64" s="133" t="str">
        <x:v>Santral popup: Su alanını göster</x:v>
      </x:c>
      <x:c r="BB64" s="133" t="str">
        <x:v>Orta-Düşük</x:v>
      </x:c>
      <x:c r="BC64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65" ht="30" customHeight="1">
      <x:c r="A65" s="100" t="n">
        <x:v>62</x:v>
      </x:c>
      <x:c r="B65" s="32" t="str">
        <x:v>DİM HES</x:v>
      </x:c>
      <x:c r="C65" s="32" t="str">
        <x:v>Orta Akdeniz</x:v>
      </x:c>
      <x:c r="D65" s="32" t="str">
        <x:v>Antalya</x:v>
      </x:c>
      <x:c r="E65" s="34" t="n">
        <x:v>9</x:v>
      </x:c>
      <x:c r="F65" s="32" t="str">
        <x:v>https://cbs1.tarimorman.gov.tr/server/rest/services/TATUS/FeatureServer/11/query?where=ID%3D9&amp;outFields=ID%2CHAVZA_ADI%2CALAN_KM2&amp;returnGeometry=true&amp;outSR=4326&amp;f=geojson</x:v>
      </x:c>
      <x:c r="G65" s="32" t="str">
        <x:v>DİM</x:v>
      </x:c>
      <x:c r="H65" s="32" t="str">
        <x:v>ANTALYA</x:v>
      </x:c>
      <x:c r="I65" s="36"/>
      <x:c r="J65" s="36"/>
      <x:c r="K65" s="38" t="n">
        <x:v>169.5</x:v>
      </x:c>
      <x:c r="L65" s="38" t="n">
        <x:v>130</x:v>
      </x:c>
      <x:c r="M65" s="32"/>
      <x:c r="N65" s="38" t="n">
        <x:v>38.3</x:v>
      </x:c>
      <x:c r="O65" s="38" t="n">
        <x:v>32.1</x:v>
      </x:c>
      <x:c r="P65" s="38" t="n">
        <x:v>236.3</x:v>
      </x:c>
      <x:c r="Q65" s="38" t="n">
        <x:v>85.56</x:v>
      </x:c>
      <x:c r="R65" s="38"/>
      <x:c r="S65" s="38"/>
      <x:c r="T65" s="40" t="n">
        <x:v>46278.81434027778</x:v>
      </x:c>
      <x:c r="U65" s="32" t="str">
        <x:v>exact</x:v>
      </x:c>
      <x:c r="V65" s="32" t="str">
        <x:v>B</x:v>
      </x:c>
      <x:c r="W65" s="32" t="str">
        <x:v>Yüklü Debi_ve_Kurulu_Guc-13092026.xlsx</x:v>
      </x:c>
      <x:c r="X65" s="32" t="str">
        <x:v>Yüklü Debi_ve_Kurulu_Guc-13092026.xlsx</x:v>
      </x:c>
      <x:c r="Y65" s="32"/>
      <x:c r="Z65" s="32" t="str">
        <x:v>10</x:v>
      </x:c>
      <x:c r="AA65" s="101" t="str">
        <x:v>Kaskat alanında kaynak değeri '10' (belirsiz/sentinel); Koordinat güvenilir açık kaynaktan doğrulanamadı</x:v>
      </x:c>
      <x:c r="AB65" s="133" t="str">
        <x:v>Koordinat eksik</x:v>
      </x:c>
      <x:c r="AC65" s="133" t="str">
        <x:v>—</x:v>
      </x:c>
      <x:c r="AD65" s="133"/>
      <x:c r="AE65" s="133"/>
      <x:c r="AF65" s="133"/>
      <x:c r="AG65" s="134"/>
      <x:c r="AH65" s="134"/>
      <x:c r="AI65" s="133"/>
      <x:c r="AJ65" s="133"/>
      <x:c r="AK65" s="135"/>
      <x:c r="AL65" s="133" t="str">
        <x:v>Point</x:v>
      </x:c>
      <x:c r="AM65" s="133"/>
      <x:c r="AN65" s="133" t="str">
        <x:v>Koordinat yok</x:v>
      </x:c>
      <x:c r="AO65" s="133"/>
      <x:c r="AP65" s="133"/>
      <x:c r="AQ65" s="134"/>
      <x:c r="AR65" s="134"/>
      <x:c r="AS65" s="133"/>
      <x:c r="AT65" s="133" t="str">
        <x:v>https://cbs1.tarimorman.gov.tr/server/rest/services/TATUS/FeatureServer/7/query?where=HAVZA_ID%3D9+AND+%28BarajAdi%3D%27D%C4%B0M%27%29&amp;outFields=OBJECTID%2CBarajAdi%2CHavzaAdi%2CHAVZA_ID%2CIl&amp;returnGeometry=true&amp;outSR=4326&amp;f=geojson</x:v>
      </x:c>
      <x:c r="AU65" s="133"/>
      <x:c r="AV65" s="133" t="str">
        <x:v>Polyline / LineString</x:v>
      </x:c>
      <x:c r="AW65" s="133"/>
      <x:c r="AX65" s="133" t="str">
        <x:v>Koordinat yok; spatial eşleme yapılamadı</x:v>
      </x:c>
      <x:c r="AY65" s="133" t="str">
        <x:v>Polygon</x:v>
      </x:c>
      <x:c r="AZ65" s="133"/>
      <x:c r="BA65" s="133" t="str">
        <x:v>Santral popup: Su alanını göster</x:v>
      </x:c>
      <x:c r="BB65" s="133" t="str">
        <x:v>Yok</x:v>
      </x:c>
      <x:c r="BC65" s="133" t="str">
        <x:v>TATUS baraj point doğrudan eşleşmesi bu çalışma kitabında çözülmedi; sorgu URL'si eklendi; Koordinat eksik olduğu için akarsu ve su toplama alanı spatial sorgusu üretilemedi</x:v>
      </x:c>
    </x:row>
    <x:row r="66" ht="30" customHeight="1">
      <x:c r="A66" s="100" t="n">
        <x:v>63</x:v>
      </x:c>
      <x:c r="B66" s="32" t="str">
        <x:v>DİNAR2 HES</x:v>
      </x:c>
      <x:c r="C66" s="32" t="str">
        <x:v>Büyük Menderes</x:v>
      </x:c>
      <x:c r="D66" s="32" t="str">
        <x:v>Büyük Menderes</x:v>
      </x:c>
      <x:c r="E66" s="34" t="n">
        <x:v>7</x:v>
      </x:c>
      <x:c r="F66" s="32" t="str">
        <x:v>https://cbs1.tarimorman.gov.tr/server/rest/services/TATUS/FeatureServer/11/query?where=ID%3D7&amp;outFields=ID%2CHAVZA_ADI%2CALAN_KM2&amp;returnGeometry=true&amp;outSR=4326&amp;f=geojson</x:v>
      </x:c>
      <x:c r="G66" s="32" t="str">
        <x:v>DİNAR2</x:v>
      </x:c>
      <x:c r="H66" s="32" t="str">
        <x:v>AFYONKARAHİSAR</x:v>
      </x:c>
      <x:c r="I66" s="36"/>
      <x:c r="J66" s="36"/>
      <x:c r="K66" s="38" t="n">
        <x:v>2.4</x:v>
      </x:c>
      <x:c r="L66" s="38" t="n">
        <x:v>1.2</x:v>
      </x:c>
      <x:c r="M66" s="32"/>
      <x:c r="N66" s="38" t="n">
        <x:v>3</x:v>
      </x:c>
      <x:c r="O66" s="38"/>
      <x:c r="P66" s="38"/>
      <x:c r="Q66" s="38"/>
      <x:c r="R66" s="38"/>
      <x:c r="S66" s="38"/>
      <x:c r="T66" s="40"/>
      <x:c r="U66" s="32" t="str">
        <x:v>eşleşme yok</x:v>
      </x:c>
      <x:c r="V66" s="32" t="str">
        <x:v>C</x:v>
      </x:c>
      <x:c r="W66" s="32" t="str">
        <x:v>https://www.enerjiatlasi.com/hidroelektrik/dinar-2-hes.html</x:v>
      </x:c>
      <x:c r="X66" s="32" t="str">
        <x:v>https://openinframap.org/stats/area/Turkey/plants?source=hydro</x:v>
      </x:c>
      <x:c r="Y66" s="32"/>
      <x:c r="Z66" s="32" t="str">
        <x:v>10</x:v>
      </x:c>
      <x:c r="AA6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66" s="133" t="str">
        <x:v>Koordinat eksik</x:v>
      </x:c>
      <x:c r="AC66" s="133" t="str">
        <x:v>—</x:v>
      </x:c>
      <x:c r="AD66" s="133"/>
      <x:c r="AE66" s="133"/>
      <x:c r="AF66" s="133"/>
      <x:c r="AG66" s="134"/>
      <x:c r="AH66" s="134"/>
      <x:c r="AI66" s="133"/>
      <x:c r="AJ66" s="133"/>
      <x:c r="AK66" s="135"/>
      <x:c r="AL66" s="133" t="str">
        <x:v>Point</x:v>
      </x:c>
      <x:c r="AM66" s="133"/>
      <x:c r="AN66" s="133" t="str">
        <x:v>Koordinat yok</x:v>
      </x:c>
      <x:c r="AO66" s="133"/>
      <x:c r="AP66" s="133"/>
      <x:c r="AQ66" s="134"/>
      <x:c r="AR66" s="134"/>
      <x:c r="AS66" s="133"/>
      <x:c r="AT66" s="133" t="str">
        <x:v>https://cbs1.tarimorman.gov.tr/server/rest/services/TATUS/FeatureServer/7/query?where=HAVZA_ID%3D7+AND+%28BarajAdi%3D%27D%C4%B0NAR2%27%29&amp;outFields=OBJECTID%2CBarajAdi%2CHavzaAdi%2CHAVZA_ID%2CIl&amp;returnGeometry=true&amp;outSR=4326&amp;f=geojson</x:v>
      </x:c>
      <x:c r="AU66" s="133" t="str">
        <x:v>Büyük Menderes</x:v>
      </x:c>
      <x:c r="AV66" s="133" t="str">
        <x:v>Polyline / LineString</x:v>
      </x:c>
      <x:c r="AW66" s="133"/>
      <x:c r="AX66" s="133" t="str">
        <x:v>Havza ana akarsuyu ön-eşleme; TATUS spatial query ile doğrulanmalı</x:v>
      </x:c>
      <x:c r="AY66" s="133" t="str">
        <x:v>Polygon</x:v>
      </x:c>
      <x:c r="AZ66" s="133"/>
      <x:c r="BA66" s="133" t="str">
        <x:v>Santral popup: Su alanını göster</x:v>
      </x:c>
      <x:c r="BB66" s="133" t="str">
        <x:v>Yok</x:v>
      </x:c>
      <x:c r="BC66" s="133" t="str">
        <x:v>TATUS baraj point doğrudan eşleşmesi bu çalışma kitabında çözülmedi; sorgu URL'si eklendi; Koordinat eksik olduğu için akarsu ve su toplama alanı spatial sorgusu üretilemedi</x:v>
      </x:c>
    </x:row>
    <x:row r="67" ht="30" customHeight="1">
      <x:c r="A67" s="100" t="n">
        <x:v>64</x:v>
      </x:c>
      <x:c r="B67" s="32" t="str">
        <x:v>DOĞANKAYA HES</x:v>
      </x:c>
      <x:c r="C67" s="32" t="str">
        <x:v>Fırat Dicle</x:v>
      </x:c>
      <x:c r="D67" s="32" t="str">
        <x:v>Fırat-Dicle</x:v>
      </x:c>
      <x:c r="E67" s="34" t="n">
        <x:v>21</x:v>
      </x:c>
      <x:c r="F67" s="32" t="str">
        <x:v>https://cbs1.tarimorman.gov.tr/server/rest/services/TATUS/FeatureServer/11/query?where=ID%3D21&amp;outFields=ID%2CHAVZA_ADI%2CALAN_KM2&amp;returnGeometry=true&amp;outSR=4326&amp;f=geojson</x:v>
      </x:c>
      <x:c r="G67" s="32" t="str">
        <x:v>DOĞANKAYA</x:v>
      </x:c>
      <x:c r="H67" s="32" t="str">
        <x:v>ADIYAMAN</x:v>
      </x:c>
      <x:c r="I67" s="36"/>
      <x:c r="J67" s="36"/>
      <x:c r="K67" s="38" t="n">
        <x:v>567</x:v>
      </x:c>
      <x:c r="L67" s="38" t="n">
        <x:v>565</x:v>
      </x:c>
      <x:c r="M67" s="32"/>
      <x:c r="N67" s="38" t="n">
        <x:v>20.55</x:v>
      </x:c>
      <x:c r="O67" s="38"/>
      <x:c r="P67" s="38"/>
      <x:c r="Q67" s="38"/>
      <x:c r="R67" s="38"/>
      <x:c r="S67" s="38"/>
      <x:c r="T67" s="40"/>
      <x:c r="U67" s="32" t="str">
        <x:v>eşleşme yok</x:v>
      </x:c>
      <x:c r="V67" s="32" t="str">
        <x:v>C</x:v>
      </x:c>
      <x:c r="W67" s="32" t="str">
        <x:v>https://www.gulsanholding.com.tr/dogankaya_hes.asp?Dil=tr</x:v>
      </x:c>
      <x:c r="X67" s="32" t="str">
        <x:v>https://openinframap.org/stats/area/Turkey/plants?source=hydro</x:v>
      </x:c>
      <x:c r="Y67" s="32"/>
      <x:c r="Z67" s="32" t="str">
        <x:v>10</x:v>
      </x:c>
      <x:c r="AA67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67" s="133" t="str">
        <x:v>Koordinat eksik</x:v>
      </x:c>
      <x:c r="AC67" s="133" t="str">
        <x:v>—</x:v>
      </x:c>
      <x:c r="AD67" s="133"/>
      <x:c r="AE67" s="133"/>
      <x:c r="AF67" s="133"/>
      <x:c r="AG67" s="134"/>
      <x:c r="AH67" s="134"/>
      <x:c r="AI67" s="133"/>
      <x:c r="AJ67" s="133"/>
      <x:c r="AK67" s="135"/>
      <x:c r="AL67" s="133" t="str">
        <x:v>Point</x:v>
      </x:c>
      <x:c r="AM67" s="133"/>
      <x:c r="AN67" s="133" t="str">
        <x:v>Koordinat yok</x:v>
      </x:c>
      <x:c r="AO67" s="133"/>
      <x:c r="AP67" s="133"/>
      <x:c r="AQ67" s="134"/>
      <x:c r="AR67" s="134"/>
      <x:c r="AS67" s="133"/>
      <x:c r="AT67" s="133" t="str">
        <x:v>https://cbs1.tarimorman.gov.tr/server/rest/services/TATUS/FeatureServer/7/query?where=HAVZA_ID%3D21+AND+%28BarajAdi%3D%27DO%C4%9EANKAYA%27%29&amp;outFields=OBJECTID%2CBarajAdi%2CHavzaAdi%2CHAVZA_ID%2CIl&amp;returnGeometry=true&amp;outSR=4326&amp;f=geojson</x:v>
      </x:c>
      <x:c r="AU67" s="133"/>
      <x:c r="AV67" s="133" t="str">
        <x:v>Polyline / LineString</x:v>
      </x:c>
      <x:c r="AW67" s="133"/>
      <x:c r="AX67" s="133" t="str">
        <x:v>Koordinat yok; spatial eşleme yapılamadı</x:v>
      </x:c>
      <x:c r="AY67" s="133" t="str">
        <x:v>Polygon</x:v>
      </x:c>
      <x:c r="AZ67" s="133"/>
      <x:c r="BA67" s="133" t="str">
        <x:v>Santral popup: Su alanını göster</x:v>
      </x:c>
      <x:c r="BB67" s="133" t="str">
        <x:v>Yok</x:v>
      </x:c>
      <x:c r="BC67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68" ht="30" customHeight="1">
      <x:c r="A68" s="100" t="n">
        <x:v>65</x:v>
      </x:c>
      <x:c r="B68" s="32" t="str">
        <x:v>DOĞANKENT HES</x:v>
      </x:c>
      <x:c r="C68" s="32" t="str">
        <x:v>Doğu Karadeniz</x:v>
      </x:c>
      <x:c r="D68" s="32" t="str">
        <x:v>Doğu Karadeniz</x:v>
      </x:c>
      <x:c r="E68" s="34" t="n">
        <x:v>22</x:v>
      </x:c>
      <x:c r="F68" s="32" t="str">
        <x:v>https://cbs1.tarimorman.gov.tr/server/rest/services/TATUS/FeatureServer/11/query?where=ID%3D22&amp;outFields=ID%2CHAVZA_ADI%2CALAN_KM2&amp;returnGeometry=true&amp;outSR=4326&amp;f=geojson</x:v>
      </x:c>
      <x:c r="G68" s="32" t="str">
        <x:v>DOĞANKENT</x:v>
      </x:c>
      <x:c r="H68" s="32" t="str">
        <x:v>GİRESUN</x:v>
      </x:c>
      <x:c r="I68" s="36" t="n">
        <x:v>40.804</x:v>
      </x:c>
      <x:c r="J68" s="36" t="n">
        <x:v>38.916</x:v>
      </x:c>
      <x:c r="K68" s="38" t="n">
        <x:v>380</x:v>
      </x:c>
      <x:c r="L68" s="38" t="n">
        <x:v>375</x:v>
      </x:c>
      <x:c r="M68" s="32"/>
      <x:c r="N68" s="38" t="n">
        <x:v>74</x:v>
      </x:c>
      <x:c r="O68" s="38"/>
      <x:c r="P68" s="38"/>
      <x:c r="Q68" s="38"/>
      <x:c r="R68" s="38"/>
      <x:c r="S68" s="38"/>
      <x:c r="T68" s="40"/>
      <x:c r="U68" s="32" t="str">
        <x:v>eşleşme yok</x:v>
      </x:c>
      <x:c r="V68" s="32" t="str">
        <x:v>C</x:v>
      </x:c>
      <x:c r="W68" s="32" t="str">
        <x:v>https://www.enerjiatlasi.com/hidroelektrik/?v=1.0.24</x:v>
      </x:c>
      <x:c r="X68" s="32" t="str">
        <x:v>https://openinframap.org/stats/area/Turkey/plants?source=hydro</x:v>
      </x:c>
      <x:c r="Y68" s="32" t="str">
        <x:v>hes_MERKEZI_LISTESI.xlsx — trafo merkezi koordinatı (yaklaşık)</x:v>
      </x:c>
      <x:c r="Z68" s="32" t="str">
        <x:v>10</x:v>
      </x:c>
      <x:c r="AA68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68" s="133" t="str">
        <x:v>Trafo merkezi koordinatı ile tamamlandı</x:v>
      </x:c>
      <x:c r="AC68" s="133" t="str">
        <x:v>Trafo merkezi / elektrik bağlantı noktası (yaklaşık)</x:v>
      </x:c>
      <x:c r="AD68" s="133" t="n">
        <x:v>788</x:v>
      </x:c>
      <x:c r="AE68" s="133" t="str">
        <x:v>DOĞANKENT HES</x:v>
      </x:c>
      <x:c r="AF68" s="133" t="str">
        <x:v>Giresun</x:v>
      </x:c>
      <x:c r="AG68" s="134" t="n">
        <x:v>40.804</x:v>
      </x:c>
      <x:c r="AH68" s="134" t="n">
        <x:v>38.916</x:v>
      </x:c>
      <x:c r="AI68" s="133" t="str">
        <x:v>Tam ad eşleşmesi</x:v>
      </x:c>
      <x:c r="AJ68" s="133" t="str">
        <x:v>Yüksek</x:v>
      </x:c>
      <x:c r="AK68" s="135"/>
      <x:c r="AL68" s="133" t="str">
        <x:v>Point</x:v>
      </x:c>
      <x:c r="AM68" s="133" t="str">
        <x:v>{"type": "Point", "coordinates": [38.916, 40.804]}</x:v>
      </x:c>
      <x:c r="AN68" s="133" t="str">
        <x:v>Trafo merkezi / elektrik bağlantı noktası (yaklaşık)</x:v>
      </x:c>
      <x:c r="AO68" s="133"/>
      <x:c r="AP68" s="133"/>
      <x:c r="AQ68" s="134"/>
      <x:c r="AR68" s="134"/>
      <x:c r="AS68" s="133"/>
      <x:c r="AT68" s="133" t="str">
        <x:v>https://cbs1.tarimorman.gov.tr/server/rest/services/TATUS/FeatureServer/7/query?where=HAVZA_ID%3D22+AND+%28BarajAdi%3D%27DO%C4%9EANKENT%27%29&amp;outFields=OBJECTID%2CBarajAdi%2CHavzaAdi%2CHAVZA_ID%2CIl&amp;returnGeometry=true&amp;outSR=4326&amp;f=geojson</x:v>
      </x:c>
      <x:c r="AU68" s="133"/>
      <x:c r="AV68" s="133" t="str">
        <x:v>Polyline / LineString</x:v>
      </x:c>
      <x:c r="AW68" s="133" t="str">
        <x:v>https://cbs1.tarimorman.gov.tr/server/rest/services/TATUS/FeatureServer/8/query?where=HAVZA_ID%3D22&amp;geometry=38.916000%2C40.804000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8" s="133" t="str">
        <x:v>TATUS spatial query hazır; en yakın/uygun LineString seçilmeli</x:v>
      </x:c>
      <x:c r="AY68" s="133" t="str">
        <x:v>Polygon</x:v>
      </x:c>
      <x:c r="AZ68" s="133" t="str">
        <x:v>https://cbs1.tarimorman.gov.tr/server/rest/services/TATUS/FeatureServer/9/query?where=1%3D1&amp;geometry=38.916000%2C40.804000&amp;geometryType=esriGeometryPoint&amp;inSR=4326&amp;spatialRel=esriSpatialRelIntersects&amp;outFields=%2A&amp;returnGeometry=true&amp;outSR=4326&amp;resultRecordCount=5&amp;f=geojson</x:v>
      </x:c>
      <x:c r="BA68" s="133" t="str">
        <x:v>Santral popup: Su alanını göster</x:v>
      </x:c>
      <x:c r="BB68" s="133" t="str">
        <x:v>Orta-Düşük</x:v>
      </x:c>
      <x:c r="BC68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69" ht="30" customHeight="1">
      <x:c r="A69" s="100" t="n">
        <x:v>66</x:v>
      </x:c>
      <x:c r="B69" s="32" t="str">
        <x:v>EREN HES</x:v>
      </x:c>
      <x:c r="C69" s="32" t="str">
        <x:v>Batı Karadeniz</x:v>
      </x:c>
      <x:c r="D69" s="32" t="str">
        <x:v>Batı Karadeniz</x:v>
      </x:c>
      <x:c r="E69" s="34" t="n">
        <x:v>13</x:v>
      </x:c>
      <x:c r="F69" s="32" t="str">
        <x:v>https://cbs1.tarimorman.gov.tr/server/rest/services/TATUS/FeatureServer/11/query?where=ID%3D13&amp;outFields=ID%2CHAVZA_ADI%2CALAN_KM2&amp;returnGeometry=true&amp;outSR=4326&amp;f=geojson</x:v>
      </x:c>
      <x:c r="G69" s="32" t="str">
        <x:v>EREN</x:v>
      </x:c>
      <x:c r="H69" s="32" t="str">
        <x:v>KARABÜK</x:v>
      </x:c>
      <x:c r="I69" s="36" t="n">
        <x:v>41.147</x:v>
      </x:c>
      <x:c r="J69" s="36" t="n">
        <x:v>32.907</x:v>
      </x:c>
      <x:c r="K69" s="38" t="n">
        <x:v>530.28</x:v>
      </x:c>
      <x:c r="L69" s="38" t="n">
        <x:v>529.5</x:v>
      </x:c>
      <x:c r="M69" s="32"/>
      <x:c r="N69" s="38" t="n">
        <x:v>37</x:v>
      </x:c>
      <x:c r="O69" s="38"/>
      <x:c r="P69" s="38"/>
      <x:c r="Q69" s="38"/>
      <x:c r="R69" s="38"/>
      <x:c r="S69" s="38"/>
      <x:c r="T69" s="40"/>
      <x:c r="U69" s="32" t="str">
        <x:v>eşleşme yok</x:v>
      </x:c>
      <x:c r="V69" s="32" t="str">
        <x:v>C</x:v>
      </x:c>
      <x:c r="W69" s="32" t="str">
        <x:v>https://www.kalkinmakutuphanesi.gov.tr/assets/upload/dosyalar/2014-2023-bati-karadeniz-bolge-plani-cilt1-mevcut-durum-analizi-1-2.pdf</x:v>
      </x:c>
      <x:c r="X69" s="32" t="str">
        <x:v>https://www.kalkinmakutuphanesi.gov.tr/assets/upload/dosyalar/2014-2023-bati-karadeniz-bolge-plani-cilt1-mevcut-durum-analizi-1-2.pdf</x:v>
      </x:c>
      <x:c r="Y69" s="32" t="str">
        <x:v>hes_MERKEZI_LISTESI.xlsx — trafo merkezi koordinatı (yaklaşık)</x:v>
      </x:c>
      <x:c r="Z69" s="32" t="str">
        <x:v>10</x:v>
      </x:c>
      <x:c r="AA6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doğrulanamadı; Santral/baraj kesin koordinatı doğrulanamadığı için eşleşen trafo merkezi koordinatı harita referansı olarak kullanıldı; kesin HES konumu değildir.</x:v>
      </x:c>
      <x:c r="AB69" s="133" t="str">
        <x:v>Trafo merkezi koordinatı ile tamamlandı</x:v>
      </x:c>
      <x:c r="AC69" s="133" t="str">
        <x:v>Trafo merkezi / elektrik bağlantı noktası (yaklaşık)</x:v>
      </x:c>
      <x:c r="AD69" s="133" t="n">
        <x:v>1228</x:v>
      </x:c>
      <x:c r="AE69" s="133" t="str">
        <x:v>EREN HES</x:v>
      </x:c>
      <x:c r="AF69" s="133" t="str">
        <x:v>Karabük</x:v>
      </x:c>
      <x:c r="AG69" s="134" t="n">
        <x:v>41.147</x:v>
      </x:c>
      <x:c r="AH69" s="134" t="n">
        <x:v>32.907</x:v>
      </x:c>
      <x:c r="AI69" s="133" t="str">
        <x:v>Tam ad eşleşmesi</x:v>
      </x:c>
      <x:c r="AJ69" s="133" t="str">
        <x:v>Yüksek</x:v>
      </x:c>
      <x:c r="AK69" s="135"/>
      <x:c r="AL69" s="133" t="str">
        <x:v>Point</x:v>
      </x:c>
      <x:c r="AM69" s="133" t="str">
        <x:v>{"type": "Point", "coordinates": [32.907, 41.147]}</x:v>
      </x:c>
      <x:c r="AN69" s="133" t="str">
        <x:v>Trafo merkezi / elektrik bağlantı noktası (yaklaşık)</x:v>
      </x:c>
      <x:c r="AO69" s="133"/>
      <x:c r="AP69" s="133"/>
      <x:c r="AQ69" s="134"/>
      <x:c r="AR69" s="134"/>
      <x:c r="AS69" s="133"/>
      <x:c r="AT69" s="133" t="str">
        <x:v>https://cbs1.tarimorman.gov.tr/server/rest/services/TATUS/FeatureServer/7/query?where=HAVZA_ID%3D13+AND+%28BarajAdi%3D%27EREN%27%29&amp;outFields=OBJECTID%2CBarajAdi%2CHavzaAdi%2CHAVZA_ID%2CIl&amp;returnGeometry=true&amp;outSR=4326&amp;f=geojson</x:v>
      </x:c>
      <x:c r="AU69" s="133"/>
      <x:c r="AV69" s="133" t="str">
        <x:v>Polyline / LineString</x:v>
      </x:c>
      <x:c r="AW69" s="133" t="str">
        <x:v>https://cbs1.tarimorman.gov.tr/server/rest/services/TATUS/FeatureServer/8/query?where=HAVZA_ID%3D13&amp;geometry=32.907000%2C41.147000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69" s="133" t="str">
        <x:v>TATUS spatial query hazır; en yakın/uygun LineString seçilmeli</x:v>
      </x:c>
      <x:c r="AY69" s="133" t="str">
        <x:v>Polygon</x:v>
      </x:c>
      <x:c r="AZ69" s="133" t="str">
        <x:v>https://cbs1.tarimorman.gov.tr/server/rest/services/TATUS/FeatureServer/9/query?where=1%3D1&amp;geometry=32.907000%2C41.147000&amp;geometryType=esriGeometryPoint&amp;inSR=4326&amp;spatialRel=esriSpatialRelIntersects&amp;outFields=%2A&amp;returnGeometry=true&amp;outSR=4326&amp;resultRecordCount=5&amp;f=geojson</x:v>
      </x:c>
      <x:c r="BA69" s="133" t="str">
        <x:v>Santral popup: Su alanını göster</x:v>
      </x:c>
      <x:c r="BB69" s="133" t="str">
        <x:v>Orta-Düşük</x:v>
      </x:c>
      <x:c r="BC69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70" ht="30" customHeight="1">
      <x:c r="A70" s="100" t="n">
        <x:v>67</x:v>
      </x:c>
      <x:c r="B70" s="32" t="str">
        <x:v>ERKENEK (TEKTUĞ) HES</x:v>
      </x:c>
      <x:c r="C70" s="32" t="str">
        <x:v>Fırat Dicle</x:v>
      </x:c>
      <x:c r="D70" s="32" t="str">
        <x:v>Fırat-Dicle</x:v>
      </x:c>
      <x:c r="E70" s="34" t="n">
        <x:v>21</x:v>
      </x:c>
      <x:c r="F70" s="32" t="str">
        <x:v>https://cbs1.tarimorman.gov.tr/server/rest/services/TATUS/FeatureServer/11/query?where=ID%3D21&amp;outFields=ID%2CHAVZA_ADI%2CALAN_KM2&amp;returnGeometry=true&amp;outSR=4326&amp;f=geojson</x:v>
      </x:c>
      <x:c r="G70" s="32" t="str">
        <x:v>ERKENEK (TEKTUĞ)</x:v>
      </x:c>
      <x:c r="H70" s="32" t="str">
        <x:v>MALATYA</x:v>
      </x:c>
      <x:c r="I70" s="36"/>
      <x:c r="J70" s="36"/>
      <x:c r="K70" s="38" t="n">
        <x:v>932.45</x:v>
      </x:c>
      <x:c r="L70" s="38" t="n">
        <x:v>929</x:v>
      </x:c>
      <x:c r="M70" s="32" t="str">
        <x:v>BİRECİK-NİZİP HES</x:v>
      </x:c>
      <x:c r="N70" s="38" t="n">
        <x:v>0.32</x:v>
      </x:c>
      <x:c r="O70" s="38"/>
      <x:c r="P70" s="38"/>
      <x:c r="Q70" s="38"/>
      <x:c r="R70" s="38"/>
      <x:c r="S70" s="38"/>
      <x:c r="T70" s="40"/>
      <x:c r="U70" s="32" t="str">
        <x:v>eşleşme yok</x:v>
      </x:c>
      <x:c r="V70" s="32" t="str">
        <x:v>C</x:v>
      </x:c>
      <x:c r="W70" s="32" t="str">
        <x:v>https://www.erciyesenerji.com.tr/santral-bilgileri/</x:v>
      </x:c>
      <x:c r="X70" s="32" t="str">
        <x:v>https://www.erciyesenerji.com.tr/santral-bilgileri/</x:v>
      </x:c>
      <x:c r="Y70" s="32"/>
      <x:c r="Z70" s="32" t="str">
        <x:v>BİRECİK-NİZİP HES</x:v>
      </x:c>
      <x:c r="AA70" s="101" t="str">
        <x:v>EPİAŞ su göstergesi eşleşmesi bulunamadı; Koordinat güvenilir açık kaynaktan doğrulanamadı; Ünite debisi doğrulanamadı; Maksimum/minimum hacim doğrulanamadı</x:v>
      </x:c>
      <x:c r="AB70" s="133" t="str">
        <x:v>Koordinat eksik</x:v>
      </x:c>
      <x:c r="AC70" s="133" t="str">
        <x:v>—</x:v>
      </x:c>
      <x:c r="AD70" s="133"/>
      <x:c r="AE70" s="133"/>
      <x:c r="AF70" s="133"/>
      <x:c r="AG70" s="134"/>
      <x:c r="AH70" s="134"/>
      <x:c r="AI70" s="133"/>
      <x:c r="AJ70" s="133"/>
      <x:c r="AK70" s="135"/>
      <x:c r="AL70" s="133" t="str">
        <x:v>Point</x:v>
      </x:c>
      <x:c r="AM70" s="133"/>
      <x:c r="AN70" s="133" t="str">
        <x:v>Koordinat yok</x:v>
      </x:c>
      <x:c r="AO70" s="133"/>
      <x:c r="AP70" s="133"/>
      <x:c r="AQ70" s="134"/>
      <x:c r="AR70" s="134"/>
      <x:c r="AS70" s="133"/>
      <x:c r="AT70" s="133" t="str">
        <x:v>https://cbs1.tarimorman.gov.tr/server/rest/services/TATUS/FeatureServer/7/query?where=HAVZA_ID%3D21+AND+%28BarajAdi%3D%27ERKENEK+%28TEKTU%C4%9E%29%27%29&amp;outFields=OBJECTID%2CBarajAdi%2CHavzaAdi%2CHAVZA_ID%2CIl&amp;returnGeometry=true&amp;outSR=4326&amp;f=geojson</x:v>
      </x:c>
      <x:c r="AU70" s="133"/>
      <x:c r="AV70" s="133" t="str">
        <x:v>Polyline / LineString</x:v>
      </x:c>
      <x:c r="AW70" s="133"/>
      <x:c r="AX70" s="133" t="str">
        <x:v>Koordinat yok; spatial eşleme yapılamadı</x:v>
      </x:c>
      <x:c r="AY70" s="133" t="str">
        <x:v>Polygon</x:v>
      </x:c>
      <x:c r="AZ70" s="133"/>
      <x:c r="BA70" s="133" t="str">
        <x:v>Santral popup: Su alanını göster</x:v>
      </x:c>
      <x:c r="BB70" s="133" t="str">
        <x:v>Yok</x:v>
      </x:c>
      <x:c r="BC70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71" ht="30" customHeight="1">
      <x:c r="A71" s="100" t="n">
        <x:v>68</x:v>
      </x:c>
      <x:c r="B71" s="32" t="str">
        <x:v>ERMENEK HES EÜAŞ</x:v>
      </x:c>
      <x:c r="C71" s="32" t="str">
        <x:v>Doğu Akdeniz</x:v>
      </x:c>
      <x:c r="D71" s="32" t="str">
        <x:v>Doğu Akdeniz</x:v>
      </x:c>
      <x:c r="E71" s="34" t="n">
        <x:v>17</x:v>
      </x:c>
      <x:c r="F71" s="32" t="str">
        <x:v>https://cbs1.tarimorman.gov.tr/server/rest/services/TATUS/FeatureServer/11/query?where=ID%3D17&amp;outFields=ID%2CHAVZA_ADI%2CALAN_KM2&amp;returnGeometry=true&amp;outSR=4326&amp;f=geojson</x:v>
      </x:c>
      <x:c r="G71" s="32" t="str">
        <x:v>ERMENEK</x:v>
      </x:c>
      <x:c r="H71" s="32" t="str">
        <x:v>KARAMAN</x:v>
      </x:c>
      <x:c r="I71" s="36" t="n">
        <x:v>36.568056</x:v>
      </x:c>
      <x:c r="J71" s="36" t="n">
        <x:v>32.967778</x:v>
      </x:c>
      <x:c r="K71" s="38" t="n">
        <x:v>694</x:v>
      </x:c>
      <x:c r="L71" s="38" t="n">
        <x:v>660</x:v>
      </x:c>
      <x:c r="M71" s="32"/>
      <x:c r="N71" s="38" t="n">
        <x:v>302.4</x:v>
      </x:c>
      <x:c r="O71" s="38" t="n">
        <x:v>106.2</x:v>
      </x:c>
      <x:c r="P71" s="38" t="n">
        <x:v>4582.6</x:v>
      </x:c>
      <x:c r="Q71" s="38" t="n">
        <x:v>2835.2</x:v>
      </x:c>
      <x:c r="R71" s="38" t="n">
        <x:v>1317.12</x:v>
      </x:c>
      <x:c r="S71" s="38" t="n">
        <x:v>1038.74</x:v>
      </x:c>
      <x:c r="T71" s="40" t="n">
        <x:v>46278.81434027778</x:v>
      </x:c>
      <x:c r="U71" s="32" t="str">
        <x:v>exact</x:v>
      </x:c>
      <x:c r="V71" s="32" t="str">
        <x:v>A</x:v>
      </x:c>
      <x:c r="W71" s="32" t="str">
        <x:v>Yüklü Debi_ve_Kurulu_Guc-13092026.xlsx</x:v>
      </x:c>
      <x:c r="X71" s="32" t="str">
        <x:v>Yüklü Debi_ve_Kurulu_Guc-13092026.xlsx</x:v>
      </x:c>
      <x:c r="Y71" s="32" t="str">
        <x:v>https://turkiyebarajlar.com/baraj/ermenek</x:v>
      </x:c>
      <x:c r="Z71" s="32" t="str">
        <x:v>10</x:v>
      </x:c>
      <x:c r="AA71" s="101" t="str">
        <x:v>Kaskat alanında kaynak değeri '10' (belirsiz/sentinel)</x:v>
      </x:c>
      <x:c r="AB71" s="133" t="str">
        <x:v>Doğrulanmış koordinat mevcut</x:v>
      </x:c>
      <x:c r="AC71" s="133" t="str">
        <x:v>HES / baraj noktası</x:v>
      </x:c>
      <x:c r="AD71" s="133"/>
      <x:c r="AE71" s="133"/>
      <x:c r="AF71" s="133"/>
      <x:c r="AG71" s="134"/>
      <x:c r="AH71" s="134"/>
      <x:c r="AI71" s="133"/>
      <x:c r="AJ71" s="133"/>
      <x:c r="AK71" s="135"/>
      <x:c r="AL71" s="133" t="str">
        <x:v>Point</x:v>
      </x:c>
      <x:c r="AM71" s="133" t="str">
        <x:v>{"type": "Point", "coordinates": [32.967778, 36.568056]}</x:v>
      </x:c>
      <x:c r="AN71" s="133" t="str">
        <x:v>HES / baraj noktası</x:v>
      </x:c>
      <x:c r="AO71" s="133"/>
      <x:c r="AP71" s="133"/>
      <x:c r="AQ71" s="134"/>
      <x:c r="AR71" s="134"/>
      <x:c r="AS71" s="133"/>
      <x:c r="AT71" s="133" t="str">
        <x:v>https://cbs1.tarimorman.gov.tr/server/rest/services/TATUS/FeatureServer/7/query?where=HAVZA_ID%3D17+AND+%28BarajAdi%3D%27ERMENEK%27+OR+BarajAdi%3D%27ERMENEK+HES+E%C3%9CA%C5%9E%27%29&amp;outFields=OBJECTID%2CBarajAdi%2CHavzaAdi%2CHAVZA_ID%2CIl&amp;returnGeometry=true&amp;outSR=4326&amp;f=geojson</x:v>
      </x:c>
      <x:c r="AU71" s="133"/>
      <x:c r="AV71" s="133" t="str">
        <x:v>Polyline / LineString</x:v>
      </x:c>
      <x:c r="AW71" s="133" t="str">
        <x:v>https://cbs1.tarimorman.gov.tr/server/rest/services/TATUS/FeatureServer/8/query?where=HAVZA_ID%3D17&amp;geometry=32.967778%2C36.568056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1" s="133" t="str">
        <x:v>TATUS spatial query hazır; en yakın/uygun LineString seçilmeli</x:v>
      </x:c>
      <x:c r="AY71" s="133" t="str">
        <x:v>Polygon</x:v>
      </x:c>
      <x:c r="AZ71" s="133" t="str">
        <x:v>https://cbs1.tarimorman.gov.tr/server/rest/services/TATUS/FeatureServer/9/query?where=1%3D1&amp;geometry=32.967778%2C36.568056&amp;geometryType=esriGeometryPoint&amp;inSR=4326&amp;spatialRel=esriSpatialRelIntersects&amp;outFields=%2A&amp;returnGeometry=true&amp;outSR=4326&amp;resultRecordCount=5&amp;f=geojson</x:v>
      </x:c>
      <x:c r="BA71" s="133" t="str">
        <x:v>Santral popup: Su alanını göster</x:v>
      </x:c>
      <x:c r="BB71" s="133" t="str">
        <x:v>Yüksek</x:v>
      </x:c>
      <x:c r="BC71" s="133" t="str">
        <x:v>TATUS baraj point doğrudan eşleşmesi bu çalışma kitabında çözülmedi; sorgu URL'si eklendi</x:v>
      </x:c>
    </x:row>
    <x:row r="72" ht="30" customHeight="1">
      <x:c r="A72" s="100" t="n">
        <x:v>69</x:v>
      </x:c>
      <x:c r="B72" s="32" t="str">
        <x:v>EŞEN1 HES</x:v>
      </x:c>
      <x:c r="C72" s="32" t="str">
        <x:v>Büyük Menderes</x:v>
      </x:c>
      <x:c r="D72" s="32" t="str">
        <x:v>Büyük Menderes</x:v>
      </x:c>
      <x:c r="E72" s="34" t="n">
        <x:v>7</x:v>
      </x:c>
      <x:c r="F72" s="32" t="str">
        <x:v>https://cbs1.tarimorman.gov.tr/server/rest/services/TATUS/FeatureServer/11/query?where=ID%3D7&amp;outFields=ID%2CHAVZA_ADI%2CALAN_KM2&amp;returnGeometry=true&amp;outSR=4326&amp;f=geojson</x:v>
      </x:c>
      <x:c r="G72" s="32" t="str">
        <x:v>EŞEN 1</x:v>
      </x:c>
      <x:c r="H72" s="32" t="str">
        <x:v>MUĞLA</x:v>
      </x:c>
      <x:c r="I72" s="36" t="n">
        <x:v>36.83455</x:v>
      </x:c>
      <x:c r="J72" s="36" t="n">
        <x:v>29.50089</x:v>
      </x:c>
      <x:c r="K72" s="38" t="n">
        <x:v>1115</x:v>
      </x:c>
      <x:c r="L72" s="38" t="n">
        <x:v>1107.5</x:v>
      </x:c>
      <x:c r="M72" s="32"/>
      <x:c r="N72" s="38" t="n">
        <x:v>60</x:v>
      </x:c>
      <x:c r="O72" s="38" t="n">
        <x:v>10</x:v>
      </x:c>
      <x:c r="P72" s="38" t="n">
        <x:v>22.92</x:v>
      </x:c>
      <x:c r="Q72" s="38" t="n">
        <x:v>2.62</x:v>
      </x:c>
      <x:c r="R72" s="38" t="n">
        <x:v>4.64</x:v>
      </x:c>
      <x:c r="S72" s="38" t="n">
        <x:v>7.84</x:v>
      </x:c>
      <x:c r="T72" s="40" t="n">
        <x:v>46278.81434027778</x:v>
      </x:c>
      <x:c r="U72" s="32" t="str">
        <x:v>exact</x:v>
      </x:c>
      <x:c r="V72" s="32" t="str">
        <x:v>A</x:v>
      </x:c>
      <x:c r="W72" s="32" t="str">
        <x:v>Yüklü Debi_ve_Kurulu_Guc-13092026.xlsx</x:v>
      </x:c>
      <x:c r="X72" s="32" t="str">
        <x:v>Yüklü Debi_ve_Kurulu_Guc-13092026.xlsx</x:v>
      </x:c>
      <x:c r="Y72" s="32" t="str">
        <x:v>https://cbs1.tarimorman.gov.tr/server/rest/services/TATUS/FeatureServer/7</x:v>
      </x:c>
      <x:c r="Z72" s="32" t="str">
        <x:v>10</x:v>
      </x:c>
      <x:c r="AA72" s="101" t="str">
        <x:v>Kaskat alanında kaynak değeri '10' (belirsiz/sentinel)</x:v>
      </x:c>
      <x:c r="AB72" s="133" t="str">
        <x:v>Doğrulanmış koordinat mevcut</x:v>
      </x:c>
      <x:c r="AC72" s="133" t="str">
        <x:v>HES / baraj noktası</x:v>
      </x:c>
      <x:c r="AD72" s="133"/>
      <x:c r="AE72" s="133"/>
      <x:c r="AF72" s="133"/>
      <x:c r="AG72" s="134"/>
      <x:c r="AH72" s="134"/>
      <x:c r="AI72" s="133"/>
      <x:c r="AJ72" s="133"/>
      <x:c r="AK72" s="135"/>
      <x:c r="AL72" s="133" t="str">
        <x:v>Point</x:v>
      </x:c>
      <x:c r="AM72" s="133" t="str">
        <x:v>{"type": "Point", "coordinates": [29.50089, 36.83455]}</x:v>
      </x:c>
      <x:c r="AN72" s="133" t="str">
        <x:v>TATUS Baraj Gözlem Point</x:v>
      </x:c>
      <x:c r="AO72" s="133" t="str">
        <x:v>EŞEN 1</x:v>
      </x:c>
      <x:c r="AP72" s="133" t="n">
        <x:v>1</x:v>
      </x:c>
      <x:c r="AQ72" s="134" t="n">
        <x:v>36.83455</x:v>
      </x:c>
      <x:c r="AR72" s="134" t="n">
        <x:v>29.50089</x:v>
      </x:c>
      <x:c r="AS72" s="133" t="str">
        <x:v>{"type": "Point", "coordinates": [29.50089, 36.83455]}</x:v>
      </x:c>
      <x:c r="AT72" s="133" t="str">
        <x:v>https://cbs1.tarimorman.gov.tr/server/rest/services/TATUS/FeatureServer/7/query?where=HAVZA_ID%3D7+AND+%28BarajAdi%3D%27E%C5%9EEN+1%27+OR+BarajAdi%3D%27E%C5%9EEN1%27%29&amp;outFields=OBJECTID%2CBarajAdi%2CHavzaAdi%2CHAVZA_ID%2CIl&amp;returnGeometry=true&amp;outSR=4326&amp;f=geojson</x:v>
      </x:c>
      <x:c r="AU72" s="133" t="str">
        <x:v>Büyük Menderes</x:v>
      </x:c>
      <x:c r="AV72" s="133" t="str">
        <x:v>Polyline / LineString</x:v>
      </x:c>
      <x:c r="AW72" s="133" t="str">
        <x:v>https://cbs1.tarimorman.gov.tr/server/rest/services/TATUS/FeatureServer/8/query?where=HAVZA_ID%3D7&amp;geometry=29.500890%2C36.834550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2" s="133" t="str">
        <x:v>Havza ana akarsuyu ön-eşleme; TATUS spatial query ile doğrulanmalı</x:v>
      </x:c>
      <x:c r="AY72" s="133" t="str">
        <x:v>Polygon</x:v>
      </x:c>
      <x:c r="AZ72" s="133" t="str">
        <x:v>https://cbs1.tarimorman.gov.tr/server/rest/services/TATUS/FeatureServer/9/query?where=1%3D1&amp;geometry=29.500890%2C36.834550&amp;geometryType=esriGeometryPoint&amp;inSR=4326&amp;spatialRel=esriSpatialRelIntersects&amp;outFields=%2A&amp;returnGeometry=true&amp;outSR=4326&amp;resultRecordCount=5&amp;f=geojson</x:v>
      </x:c>
      <x:c r="BA72" s="133" t="str">
        <x:v>Santral popup: Su alanını göster</x:v>
      </x:c>
      <x:c r="BB72" s="133" t="str">
        <x:v>Yüksek</x:v>
      </x:c>
      <x:c r="BC72" s="133"/>
    </x:row>
    <x:row r="73" ht="30" customHeight="1">
      <x:c r="A73" s="100" t="n">
        <x:v>70</x:v>
      </x:c>
      <x:c r="B73" s="32" t="str">
        <x:v>FEKE2 HES</x:v>
      </x:c>
      <x:c r="C73" s="32" t="str">
        <x:v>Seyhan</x:v>
      </x:c>
      <x:c r="D73" s="32" t="str">
        <x:v>Seyhan</x:v>
      </x:c>
      <x:c r="E73" s="34" t="n">
        <x:v>18</x:v>
      </x:c>
      <x:c r="F73" s="32" t="str">
        <x:v>https://cbs1.tarimorman.gov.tr/server/rest/services/TATUS/FeatureServer/11/query?where=ID%3D18&amp;outFields=ID%2CHAVZA_ADI%2CALAN_KM2&amp;returnGeometry=true&amp;outSR=4326&amp;f=geojson</x:v>
      </x:c>
      <x:c r="G73" s="32" t="str">
        <x:v>FEKE-2</x:v>
      </x:c>
      <x:c r="H73" s="32" t="str">
        <x:v>ADANA</x:v>
      </x:c>
      <x:c r="I73" s="36" t="n">
        <x:v>37.7449</x:v>
      </x:c>
      <x:c r="J73" s="36" t="n">
        <x:v>35.8652</x:v>
      </x:c>
      <x:c r="K73" s="38" t="n">
        <x:v>543</x:v>
      </x:c>
      <x:c r="L73" s="38" t="n">
        <x:v>529.5</x:v>
      </x:c>
      <x:c r="M73" s="32" t="str">
        <x:v>MENGE HES</x:v>
      </x:c>
      <x:c r="N73" s="38" t="n">
        <x:v>69.3</x:v>
      </x:c>
      <x:c r="O73" s="38" t="n">
        <x:v>127.5</x:v>
      </x:c>
      <x:c r="P73" s="38" t="n">
        <x:v>63.07</x:v>
      </x:c>
      <x:c r="Q73" s="38" t="n">
        <x:v>34.74</x:v>
      </x:c>
      <x:c r="R73" s="38" t="n">
        <x:v>23.69</x:v>
      </x:c>
      <x:c r="S73" s="38" t="n">
        <x:v>3.66</x:v>
      </x:c>
      <x:c r="T73" s="40" t="n">
        <x:v>46278.81434027778</x:v>
      </x:c>
      <x:c r="U73" s="32" t="str">
        <x:v>alias</x:v>
      </x:c>
      <x:c r="V73" s="32" t="str">
        <x:v>A</x:v>
      </x:c>
      <x:c r="W73" s="32" t="str">
        <x:v>Yüklü Debi_ve_Kurulu_Guc-13092026.xlsx</x:v>
      </x:c>
      <x:c r="X73" s="32" t="str">
        <x:v>Yüklü Debi_ve_Kurulu_Guc-13092026.xlsx</x:v>
      </x:c>
      <x:c r="Y73" s="32" t="str">
        <x:v>https://cbs1.tarimorman.gov.tr/server/rest/services/TATUS/FeatureServer/7</x:v>
      </x:c>
      <x:c r="Z73" s="32" t="str">
        <x:v>MENGE HES</x:v>
      </x:c>
      <x:c r="AA73" s="101" t="str">
        <x:v>Baraj adı eşleşmesi: FEKE-2</x:v>
      </x:c>
      <x:c r="AB73" s="133" t="str">
        <x:v>Doğrulanmış koordinat mevcut</x:v>
      </x:c>
      <x:c r="AC73" s="133" t="str">
        <x:v>HES / baraj noktası</x:v>
      </x:c>
      <x:c r="AD73" s="133" t="n">
        <x:v>477</x:v>
      </x:c>
      <x:c r="AE73" s="133" t="str">
        <x:v>FEKE2 HES</x:v>
      </x:c>
      <x:c r="AF73" s="133" t="str">
        <x:v>Adana</x:v>
      </x:c>
      <x:c r="AG73" s="134" t="n">
        <x:v>37.744</x:v>
      </x:c>
      <x:c r="AH73" s="134" t="n">
        <x:v>35.865</x:v>
      </x:c>
      <x:c r="AI73" s="133" t="str">
        <x:v>Tam ad eşleşmesi</x:v>
      </x:c>
      <x:c r="AJ73" s="133" t="str">
        <x:v>Yüksek</x:v>
      </x:c>
      <x:c r="AK73" s="135" t="n">
        <x:v>0.102</x:v>
      </x:c>
      <x:c r="AL73" s="133" t="str">
        <x:v>Point</x:v>
      </x:c>
      <x:c r="AM73" s="133" t="str">
        <x:v>{"type": "Point", "coordinates": [35.8652, 37.7449]}</x:v>
      </x:c>
      <x:c r="AN73" s="133" t="str">
        <x:v>TATUS Baraj Gözlem Point</x:v>
      </x:c>
      <x:c r="AO73" s="133" t="str">
        <x:v>FEKE-2</x:v>
      </x:c>
      <x:c r="AP73" s="133" t="n">
        <x:v>1</x:v>
      </x:c>
      <x:c r="AQ73" s="134" t="n">
        <x:v>37.7449</x:v>
      </x:c>
      <x:c r="AR73" s="134" t="n">
        <x:v>35.8652</x:v>
      </x:c>
      <x:c r="AS73" s="133" t="str">
        <x:v>{"type": "Point", "coordinates": [35.8652, 37.7449]}</x:v>
      </x:c>
      <x:c r="AT73" s="133" t="str">
        <x:v>https://cbs1.tarimorman.gov.tr/server/rest/services/TATUS/FeatureServer/7/query?where=HAVZA_ID%3D18+AND+%28BarajAdi%3D%27FEKE-2%27+OR+BarajAdi%3D%27FEKE2%27%29&amp;outFields=OBJECTID%2CBarajAdi%2CHavzaAdi%2CHAVZA_ID%2CIl&amp;returnGeometry=true&amp;outSR=4326&amp;f=geojson</x:v>
      </x:c>
      <x:c r="AU73" s="133" t="str">
        <x:v>Seyhan</x:v>
      </x:c>
      <x:c r="AV73" s="133" t="str">
        <x:v>Polyline / LineString</x:v>
      </x:c>
      <x:c r="AW73" s="133" t="str">
        <x:v>https://cbs1.tarimorman.gov.tr/server/rest/services/TATUS/FeatureServer/8/query?where=HAVZA_ID%3D18&amp;geometry=35.865200%2C37.744900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3" s="133" t="str">
        <x:v>Havza ana akarsuyu ön-eşleme; TATUS spatial query ile doğrulanmalı</x:v>
      </x:c>
      <x:c r="AY73" s="133" t="str">
        <x:v>Polygon</x:v>
      </x:c>
      <x:c r="AZ73" s="133" t="str">
        <x:v>https://cbs1.tarimorman.gov.tr/server/rest/services/TATUS/FeatureServer/9/query?where=1%3D1&amp;geometry=35.865200%2C37.744900&amp;geometryType=esriGeometryPoint&amp;inSR=4326&amp;spatialRel=esriSpatialRelIntersects&amp;outFields=%2A&amp;returnGeometry=true&amp;outSR=4326&amp;resultRecordCount=5&amp;f=geojson</x:v>
      </x:c>
      <x:c r="BA73" s="133" t="str">
        <x:v>Santral popup: Su alanını göster</x:v>
      </x:c>
      <x:c r="BB73" s="133" t="str">
        <x:v>Yüksek</x:v>
      </x:c>
      <x:c r="BC73" s="133"/>
    </x:row>
    <x:row r="74" ht="30" customHeight="1">
      <x:c r="A74" s="100" t="n">
        <x:v>71</x:v>
      </x:c>
      <x:c r="B74" s="32" t="str">
        <x:v>GARZAN HES</x:v>
      </x:c>
      <x:c r="C74" s="32" t="str">
        <x:v>Fırat Dicle</x:v>
      </x:c>
      <x:c r="D74" s="32" t="str">
        <x:v>Fırat-Dicle</x:v>
      </x:c>
      <x:c r="E74" s="34" t="n">
        <x:v>21</x:v>
      </x:c>
      <x:c r="F74" s="32" t="str">
        <x:v>https://cbs1.tarimorman.gov.tr/server/rest/services/TATUS/FeatureServer/11/query?where=ID%3D21&amp;outFields=ID%2CHAVZA_ADI%2CALAN_KM2&amp;returnGeometry=true&amp;outSR=4326&amp;f=geojson</x:v>
      </x:c>
      <x:c r="G74" s="32" t="str">
        <x:v>GARZAN</x:v>
      </x:c>
      <x:c r="H74" s="32" t="str">
        <x:v>BATMAN</x:v>
      </x:c>
      <x:c r="I74" s="36" t="n">
        <x:v>38.25</x:v>
      </x:c>
      <x:c r="J74" s="36" t="n">
        <x:v>41.552</x:v>
      </x:c>
      <x:c r="K74" s="38" t="n">
        <x:v>788.3</x:v>
      </x:c>
      <x:c r="L74" s="38" t="n">
        <x:v>755</x:v>
      </x:c>
      <x:c r="M74" s="32" t="str">
        <x:v>ILISU HES</x:v>
      </x:c>
      <x:c r="N74" s="38" t="n">
        <x:v>52</x:v>
      </x:c>
      <x:c r="O74" s="38"/>
      <x:c r="P74" s="38"/>
      <x:c r="Q74" s="38"/>
      <x:c r="R74" s="38"/>
      <x:c r="S74" s="38"/>
      <x:c r="T74" s="40"/>
      <x:c r="U74" s="32" t="str">
        <x:v>eşleşme yok</x:v>
      </x:c>
      <x:c r="V74" s="32" t="str">
        <x:v>C</x:v>
      </x:c>
      <x:c r="W74" s="32" t="str">
        <x:v>https://www.enerjiatlasi.com/hidroelektrik/?v=1.0.24</x:v>
      </x:c>
      <x:c r="X74" s="32" t="str">
        <x:v>https://openinframap.org/stats/area/Turkey/plants?source=hydro</x:v>
      </x:c>
      <x:c r="Y74" s="32" t="str">
        <x:v>hes_MERKEZI_LISTESI.xlsx — trafo merkezi koordinatı (yaklaşık)</x:v>
      </x:c>
      <x:c r="Z74" s="32" t="str">
        <x:v>ILISU HES</x:v>
      </x:c>
      <x:c r="AA74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74" s="133" t="str">
        <x:v>Trafo merkezi koordinatı ile tamamlandı</x:v>
      </x:c>
      <x:c r="AC74" s="133" t="str">
        <x:v>Trafo merkezi / elektrik bağlantı noktası (yaklaşık)</x:v>
      </x:c>
      <x:c r="AD74" s="133" t="n">
        <x:v>740</x:v>
      </x:c>
      <x:c r="AE74" s="133" t="str">
        <x:v>GARZAN HES</x:v>
      </x:c>
      <x:c r="AF74" s="133" t="str">
        <x:v>Batman</x:v>
      </x:c>
      <x:c r="AG74" s="134" t="n">
        <x:v>38.25</x:v>
      </x:c>
      <x:c r="AH74" s="134" t="n">
        <x:v>41.552</x:v>
      </x:c>
      <x:c r="AI74" s="133" t="str">
        <x:v>Tam ad eşleşmesi</x:v>
      </x:c>
      <x:c r="AJ74" s="133" t="str">
        <x:v>Yüksek</x:v>
      </x:c>
      <x:c r="AK74" s="135"/>
      <x:c r="AL74" s="133" t="str">
        <x:v>Point</x:v>
      </x:c>
      <x:c r="AM74" s="133" t="str">
        <x:v>{"type": "Point", "coordinates": [41.552, 38.25]}</x:v>
      </x:c>
      <x:c r="AN74" s="133" t="str">
        <x:v>Trafo merkezi / elektrik bağlantı noktası (yaklaşık)</x:v>
      </x:c>
      <x:c r="AO74" s="133"/>
      <x:c r="AP74" s="133"/>
      <x:c r="AQ74" s="134"/>
      <x:c r="AR74" s="134"/>
      <x:c r="AS74" s="133"/>
      <x:c r="AT74" s="133" t="str">
        <x:v>https://cbs1.tarimorman.gov.tr/server/rest/services/TATUS/FeatureServer/7/query?where=HAVZA_ID%3D21+AND+%28BarajAdi%3D%27GARZAN%27%29&amp;outFields=OBJECTID%2CBarajAdi%2CHavzaAdi%2CHAVZA_ID%2CIl&amp;returnGeometry=true&amp;outSR=4326&amp;f=geojson</x:v>
      </x:c>
      <x:c r="AU74" s="133"/>
      <x:c r="AV74" s="133" t="str">
        <x:v>Polyline / LineString</x:v>
      </x:c>
      <x:c r="AW74" s="133" t="str">
        <x:v>https://cbs1.tarimorman.gov.tr/server/rest/services/TATUS/FeatureServer/8/query?where=HAVZA_ID%3D21&amp;geometry=41.552000%2C38.250000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4" s="133" t="str">
        <x:v>TATUS spatial query hazır; en yakın/uygun LineString seçilmeli</x:v>
      </x:c>
      <x:c r="AY74" s="133" t="str">
        <x:v>Polygon</x:v>
      </x:c>
      <x:c r="AZ74" s="133" t="str">
        <x:v>https://cbs1.tarimorman.gov.tr/server/rest/services/TATUS/FeatureServer/9/query?where=1%3D1&amp;geometry=41.552000%2C38.250000&amp;geometryType=esriGeometryPoint&amp;inSR=4326&amp;spatialRel=esriSpatialRelIntersects&amp;outFields=%2A&amp;returnGeometry=true&amp;outSR=4326&amp;resultRecordCount=5&amp;f=geojson</x:v>
      </x:c>
      <x:c r="BA74" s="133" t="str">
        <x:v>Santral popup: Su alanını göster</x:v>
      </x:c>
      <x:c r="BB74" s="133" t="str">
        <x:v>Orta-Düşük</x:v>
      </x:c>
      <x:c r="BC74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75" ht="30" customHeight="1">
      <x:c r="A75" s="100" t="n">
        <x:v>72</x:v>
      </x:c>
      <x:c r="B75" s="32" t="str">
        <x:v>GEZENDE HES</x:v>
      </x:c>
      <x:c r="C75" s="32" t="str">
        <x:v>Doğu Akdeniz</x:v>
      </x:c>
      <x:c r="D75" s="32" t="str">
        <x:v>Doğu Akdeniz</x:v>
      </x:c>
      <x:c r="E75" s="34" t="n">
        <x:v>17</x:v>
      </x:c>
      <x:c r="F75" s="32" t="str">
        <x:v>https://cbs1.tarimorman.gov.tr/server/rest/services/TATUS/FeatureServer/11/query?where=ID%3D17&amp;outFields=ID%2CHAVZA_ADI%2CALAN_KM2&amp;returnGeometry=true&amp;outSR=4326&amp;f=geojson</x:v>
      </x:c>
      <x:c r="G75" s="32" t="str">
        <x:v>GEZENDE</x:v>
      </x:c>
      <x:c r="H75" s="32" t="str">
        <x:v>İÇEL</x:v>
      </x:c>
      <x:c r="I75" s="36" t="n">
        <x:v>36.528611</x:v>
      </x:c>
      <x:c r="J75" s="36" t="n">
        <x:v>33.194444</x:v>
      </x:c>
      <x:c r="K75" s="38" t="n">
        <x:v>333</x:v>
      </x:c>
      <x:c r="L75" s="38" t="n">
        <x:v>310</x:v>
      </x:c>
      <x:c r="M75" s="32"/>
      <x:c r="N75" s="38" t="n">
        <x:v>159.4</x:v>
      </x:c>
      <x:c r="O75" s="38" t="n">
        <x:v>105</x:v>
      </x:c>
      <x:c r="P75" s="38" t="n">
        <x:v>91.9</x:v>
      </x:c>
      <x:c r="Q75" s="38" t="n">
        <x:v>26.43</x:v>
      </x:c>
      <x:c r="R75" s="38" t="n">
        <x:v>34.94</x:v>
      </x:c>
      <x:c r="S75" s="38" t="n">
        <x:v>15.86</x:v>
      </x:c>
      <x:c r="T75" s="40" t="n">
        <x:v>46278.81434027778</x:v>
      </x:c>
      <x:c r="U75" s="32" t="str">
        <x:v>exact</x:v>
      </x:c>
      <x:c r="V75" s="32" t="str">
        <x:v>A</x:v>
      </x:c>
      <x:c r="W75" s="32" t="str">
        <x:v>Yüklü Debi_ve_Kurulu_Guc-13092026.xlsx</x:v>
      </x:c>
      <x:c r="X75" s="32" t="str">
        <x:v>Yüklü Debi_ve_Kurulu_Guc-13092026.xlsx</x:v>
      </x:c>
      <x:c r="Y75" s="32" t="str">
        <x:v>https://turkiyebarajlar.com/baraj/gezende</x:v>
      </x:c>
      <x:c r="Z75" s="32" t="str">
        <x:v>10</x:v>
      </x:c>
      <x:c r="AA75" s="101" t="str">
        <x:v>Kaskat alanında kaynak değeri '10' (belirsiz/sentinel)</x:v>
      </x:c>
      <x:c r="AB75" s="133" t="str">
        <x:v>Doğrulanmış koordinat mevcut</x:v>
      </x:c>
      <x:c r="AC75" s="133" t="str">
        <x:v>HES / baraj noktası</x:v>
      </x:c>
      <x:c r="AD75" s="133" t="n">
        <x:v>633</x:v>
      </x:c>
      <x:c r="AE75" s="133" t="str">
        <x:v>GEZENDE HES</x:v>
      </x:c>
      <x:c r="AF75" s="133" t="str">
        <x:v>Mersin</x:v>
      </x:c>
      <x:c r="AG75" s="134" t="n">
        <x:v>36.561</x:v>
      </x:c>
      <x:c r="AH75" s="134" t="n">
        <x:v>33.272</x:v>
      </x:c>
      <x:c r="AI75" s="133" t="str">
        <x:v>Tam ad eşleşmesi</x:v>
      </x:c>
      <x:c r="AJ75" s="133" t="str">
        <x:v>Yüksek</x:v>
      </x:c>
      <x:c r="AK75" s="135" t="n">
        <x:v>7.808</x:v>
      </x:c>
      <x:c r="AL75" s="133" t="str">
        <x:v>Point</x:v>
      </x:c>
      <x:c r="AM75" s="133" t="str">
        <x:v>{"type": "Point", "coordinates": [33.194444, 36.528611]}</x:v>
      </x:c>
      <x:c r="AN75" s="133" t="str">
        <x:v>HES / baraj noktası</x:v>
      </x:c>
      <x:c r="AO75" s="133"/>
      <x:c r="AP75" s="133"/>
      <x:c r="AQ75" s="134"/>
      <x:c r="AR75" s="134"/>
      <x:c r="AS75" s="133"/>
      <x:c r="AT75" s="133" t="str">
        <x:v>https://cbs1.tarimorman.gov.tr/server/rest/services/TATUS/FeatureServer/7/query?where=HAVZA_ID%3D17+AND+%28BarajAdi%3D%27GEZENDE%27%29&amp;outFields=OBJECTID%2CBarajAdi%2CHavzaAdi%2CHAVZA_ID%2CIl&amp;returnGeometry=true&amp;outSR=4326&amp;f=geojson</x:v>
      </x:c>
      <x:c r="AU75" s="133"/>
      <x:c r="AV75" s="133" t="str">
        <x:v>Polyline / LineString</x:v>
      </x:c>
      <x:c r="AW75" s="133" t="str">
        <x:v>https://cbs1.tarimorman.gov.tr/server/rest/services/TATUS/FeatureServer/8/query?where=HAVZA_ID%3D17&amp;geometry=33.194444%2C36.528611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5" s="133" t="str">
        <x:v>TATUS spatial query hazır; en yakın/uygun LineString seçilmeli</x:v>
      </x:c>
      <x:c r="AY75" s="133" t="str">
        <x:v>Polygon</x:v>
      </x:c>
      <x:c r="AZ75" s="133" t="str">
        <x:v>https://cbs1.tarimorman.gov.tr/server/rest/services/TATUS/FeatureServer/9/query?where=1%3D1&amp;geometry=33.194444%2C36.528611&amp;geometryType=esriGeometryPoint&amp;inSR=4326&amp;spatialRel=esriSpatialRelIntersects&amp;outFields=%2A&amp;returnGeometry=true&amp;outSR=4326&amp;resultRecordCount=5&amp;f=geojson</x:v>
      </x:c>
      <x:c r="BA75" s="133" t="str">
        <x:v>Santral popup: Su alanını göster</x:v>
      </x:c>
      <x:c r="BB75" s="133" t="str">
        <x:v>Yüksek</x:v>
      </x:c>
      <x:c r="BC75" s="133" t="str">
        <x:v>TATUS baraj point doğrudan eşleşmesi bu çalışma kitabında çözülmedi; sorgu URL'si eklendi</x:v>
      </x:c>
    </x:row>
    <x:row r="76" ht="30" customHeight="1">
      <x:c r="A76" s="100" t="n">
        <x:v>73</x:v>
      </x:c>
      <x:c r="B76" s="32" t="str">
        <x:v>GÖKÇEKAYA HES</x:v>
      </x:c>
      <x:c r="C76" s="32" t="str">
        <x:v>Sakarya</x:v>
      </x:c>
      <x:c r="D76" s="32" t="str">
        <x:v>Sakarya</x:v>
      </x:c>
      <x:c r="E76" s="34" t="n">
        <x:v>12</x:v>
      </x:c>
      <x:c r="F76" s="32" t="str">
        <x:v>https://cbs1.tarimorman.gov.tr/server/rest/services/TATUS/FeatureServer/11/query?where=ID%3D12&amp;outFields=ID%2CHAVZA_ADI%2CALAN_KM2&amp;returnGeometry=true&amp;outSR=4326&amp;f=geojson</x:v>
      </x:c>
      <x:c r="G76" s="32" t="str">
        <x:v>GÖKÇEKAYA</x:v>
      </x:c>
      <x:c r="H76" s="32" t="str">
        <x:v>ESKİŞEHİR</x:v>
      </x:c>
      <x:c r="I76" s="36" t="n">
        <x:v>40.033056</x:v>
      </x:c>
      <x:c r="J76" s="36" t="n">
        <x:v>31.016111</x:v>
      </x:c>
      <x:c r="K76" s="38" t="n">
        <x:v>389</x:v>
      </x:c>
      <x:c r="L76" s="38" t="n">
        <x:v>377.5</x:v>
      </x:c>
      <x:c r="M76" s="32" t="str">
        <x:v>YENİCE HES</x:v>
      </x:c>
      <x:c r="N76" s="38" t="n">
        <x:v>278.4</x:v>
      </x:c>
      <x:c r="O76" s="38" t="n">
        <x:v>297.8</x:v>
      </x:c>
      <x:c r="P76" s="38" t="n">
        <x:v>953.1</x:v>
      </x:c>
      <x:c r="Q76" s="38" t="n">
        <x:v>731.71</x:v>
      </x:c>
      <x:c r="R76" s="38" t="n">
        <x:v>122.16</x:v>
      </x:c>
      <x:c r="S76" s="38" t="n">
        <x:v>33.57</x:v>
      </x:c>
      <x:c r="T76" s="40" t="n">
        <x:v>46278.81434027778</x:v>
      </x:c>
      <x:c r="U76" s="32" t="str">
        <x:v>exact</x:v>
      </x:c>
      <x:c r="V76" s="32" t="str">
        <x:v>A</x:v>
      </x:c>
      <x:c r="W76" s="32" t="str">
        <x:v>Yüklü Debi_ve_Kurulu_Guc-13092026.xlsx</x:v>
      </x:c>
      <x:c r="X76" s="32" t="str">
        <x:v>Yüklü Debi_ve_Kurulu_Guc-13092026.xlsx</x:v>
      </x:c>
      <x:c r="Y76" s="32" t="str">
        <x:v>https://turkiyebarajlar.com/baraj/gokcekaya</x:v>
      </x:c>
      <x:c r="Z76" s="32" t="str">
        <x:v>YENİCE HES</x:v>
      </x:c>
      <x:c r="AA76" s="101"/>
      <x:c r="AB76" s="133" t="str">
        <x:v>Doğrulanmış koordinat mevcut</x:v>
      </x:c>
      <x:c r="AC76" s="133" t="str">
        <x:v>HES / baraj noktası</x:v>
      </x:c>
      <x:c r="AD76" s="133" t="n">
        <x:v>887</x:v>
      </x:c>
      <x:c r="AE76" s="133" t="str">
        <x:v>GÖKÇEKAYA HES</x:v>
      </x:c>
      <x:c r="AF76" s="133" t="str">
        <x:v>Eskişehir</x:v>
      </x:c>
      <x:c r="AG76" s="134" t="n">
        <x:v>40.035</x:v>
      </x:c>
      <x:c r="AH76" s="134" t="n">
        <x:v>31.021</x:v>
      </x:c>
      <x:c r="AI76" s="133" t="str">
        <x:v>Tam ad eşleşmesi</x:v>
      </x:c>
      <x:c r="AJ76" s="133" t="str">
        <x:v>Yüksek</x:v>
      </x:c>
      <x:c r="AK76" s="135" t="n">
        <x:v>0.469</x:v>
      </x:c>
      <x:c r="AL76" s="133" t="str">
        <x:v>Point</x:v>
      </x:c>
      <x:c r="AM76" s="133" t="str">
        <x:v>{"type": "Point", "coordinates": [31.016111, 40.033056]}</x:v>
      </x:c>
      <x:c r="AN76" s="133" t="str">
        <x:v>HES / baraj noktası</x:v>
      </x:c>
      <x:c r="AO76" s="133"/>
      <x:c r="AP76" s="133"/>
      <x:c r="AQ76" s="134"/>
      <x:c r="AR76" s="134"/>
      <x:c r="AS76" s="133"/>
      <x:c r="AT76" s="133" t="str">
        <x:v>https://cbs1.tarimorman.gov.tr/server/rest/services/TATUS/FeatureServer/7/query?where=HAVZA_ID%3D12+AND+%28BarajAdi%3D%27G%C3%96K%C3%87EKAYA%27%29&amp;outFields=OBJECTID%2CBarajAdi%2CHavzaAdi%2CHAVZA_ID%2CIl&amp;returnGeometry=true&amp;outSR=4326&amp;f=geojson</x:v>
      </x:c>
      <x:c r="AU76" s="133" t="str">
        <x:v>Sakarya</x:v>
      </x:c>
      <x:c r="AV76" s="133" t="str">
        <x:v>Polyline / LineString</x:v>
      </x:c>
      <x:c r="AW76" s="133" t="str">
        <x:v>https://cbs1.tarimorman.gov.tr/server/rest/services/TATUS/FeatureServer/8/query?where=HAVZA_ID%3D12&amp;geometry=31.016111%2C40.033056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6" s="133" t="str">
        <x:v>Havza ana akarsuyu ön-eşleme; TATUS spatial query ile doğrulanmalı</x:v>
      </x:c>
      <x:c r="AY76" s="133" t="str">
        <x:v>Polygon</x:v>
      </x:c>
      <x:c r="AZ76" s="133" t="str">
        <x:v>https://cbs1.tarimorman.gov.tr/server/rest/services/TATUS/FeatureServer/9/query?where=1%3D1&amp;geometry=31.016111%2C40.033056&amp;geometryType=esriGeometryPoint&amp;inSR=4326&amp;spatialRel=esriSpatialRelIntersects&amp;outFields=%2A&amp;returnGeometry=true&amp;outSR=4326&amp;resultRecordCount=5&amp;f=geojson</x:v>
      </x:c>
      <x:c r="BA76" s="133" t="str">
        <x:v>Santral popup: Su alanını göster</x:v>
      </x:c>
      <x:c r="BB76" s="133" t="str">
        <x:v>Yüksek</x:v>
      </x:c>
      <x:c r="BC76" s="133" t="str">
        <x:v>TATUS baraj point doğrudan eşleşmesi bu çalışma kitabında çözülmedi; sorgu URL'si eklendi</x:v>
      </x:c>
    </x:row>
    <x:row r="77" ht="30" customHeight="1">
      <x:c r="A77" s="100" t="n">
        <x:v>74</x:v>
      </x:c>
      <x:c r="B77" s="32" t="str">
        <x:v>GÖKÇELER HES</x:v>
      </x:c>
      <x:c r="C77" s="32" t="str">
        <x:v>Batı Akdeniz</x:v>
      </x:c>
      <x:c r="D77" s="32" t="str">
        <x:v>Batı Akdeniz</x:v>
      </x:c>
      <x:c r="E77" s="34" t="n">
        <x:v>8</x:v>
      </x:c>
      <x:c r="F77" s="32" t="str">
        <x:v>https://cbs1.tarimorman.gov.tr/server/rest/services/TATUS/FeatureServer/11/query?where=ID%3D8&amp;outFields=ID%2CHAVZA_ADI%2CALAN_KM2&amp;returnGeometry=true&amp;outSR=4326&amp;f=geojson</x:v>
      </x:c>
      <x:c r="G77" s="32" t="str">
        <x:v>GÖKÇELER</x:v>
      </x:c>
      <x:c r="H77" s="32" t="str">
        <x:v>ANTALYA</x:v>
      </x:c>
      <x:c r="I77" s="36"/>
      <x:c r="J77" s="36"/>
      <x:c r="K77" s="38" t="n">
        <x:v>0</x:v>
      </x:c>
      <x:c r="L77" s="38" t="n">
        <x:v>0</x:v>
      </x:c>
      <x:c r="M77" s="32"/>
      <x:c r="N77" s="38" t="n">
        <x:v>2.5</x:v>
      </x:c>
      <x:c r="O77" s="38" t="n">
        <x:v>3.3</x:v>
      </x:c>
      <x:c r="P77" s="38" t="n">
        <x:v>64.15</x:v>
      </x:c>
      <x:c r="Q77" s="38" t="n">
        <x:v>6.54</x:v>
      </x:c>
      <x:c r="R77" s="38" t="n">
        <x:v>22.94</x:v>
      </x:c>
      <x:c r="S77" s="38" t="n">
        <x:v>4.63</x:v>
      </x:c>
      <x:c r="T77" s="40" t="n">
        <x:v>46278.81434027778</x:v>
      </x:c>
      <x:c r="U77" s="32" t="str">
        <x:v>exact</x:v>
      </x:c>
      <x:c r="V77" s="32" t="str">
        <x:v>B</x:v>
      </x:c>
      <x:c r="W77" s="32" t="str">
        <x:v>Yüklü Debi_ve_Kurulu_Guc-13092026.xlsx</x:v>
      </x:c>
      <x:c r="X77" s="32" t="str">
        <x:v>Yüklü Debi_ve_Kurulu_Guc-13092026.xlsx</x:v>
      </x:c>
      <x:c r="Y77" s="32"/>
      <x:c r="Z77" s="32" t="str">
        <x:v>10</x:v>
      </x:c>
      <x:c r="AA77" s="101" t="str">
        <x:v>Kaskat alanında kaynak değeri '10' (belirsiz/sentinel); Koordinat güvenilir açık kaynaktan doğrulanamadı</x:v>
      </x:c>
      <x:c r="AB77" s="133" t="str">
        <x:v>Koordinat eksik</x:v>
      </x:c>
      <x:c r="AC77" s="133" t="str">
        <x:v>—</x:v>
      </x:c>
      <x:c r="AD77" s="133"/>
      <x:c r="AE77" s="133"/>
      <x:c r="AF77" s="133"/>
      <x:c r="AG77" s="134"/>
      <x:c r="AH77" s="134"/>
      <x:c r="AI77" s="133"/>
      <x:c r="AJ77" s="133"/>
      <x:c r="AK77" s="135"/>
      <x:c r="AL77" s="133" t="str">
        <x:v>Point</x:v>
      </x:c>
      <x:c r="AM77" s="133"/>
      <x:c r="AN77" s="133" t="str">
        <x:v>Koordinat yok</x:v>
      </x:c>
      <x:c r="AO77" s="133"/>
      <x:c r="AP77" s="133"/>
      <x:c r="AQ77" s="134"/>
      <x:c r="AR77" s="134"/>
      <x:c r="AS77" s="133"/>
      <x:c r="AT77" s="133" t="str">
        <x:v>https://cbs1.tarimorman.gov.tr/server/rest/services/TATUS/FeatureServer/7/query?where=HAVZA_ID%3D8+AND+%28BarajAdi%3D%27G%C3%96K%C3%87ELER%27%29&amp;outFields=OBJECTID%2CBarajAdi%2CHavzaAdi%2CHAVZA_ID%2CIl&amp;returnGeometry=true&amp;outSR=4326&amp;f=geojson</x:v>
      </x:c>
      <x:c r="AU77" s="133"/>
      <x:c r="AV77" s="133" t="str">
        <x:v>Polyline / LineString</x:v>
      </x:c>
      <x:c r="AW77" s="133"/>
      <x:c r="AX77" s="133" t="str">
        <x:v>Koordinat yok; spatial eşleme yapılamadı</x:v>
      </x:c>
      <x:c r="AY77" s="133" t="str">
        <x:v>Polygon</x:v>
      </x:c>
      <x:c r="AZ77" s="133"/>
      <x:c r="BA77" s="133" t="str">
        <x:v>Santral popup: Su alanını göster</x:v>
      </x:c>
      <x:c r="BB77" s="133" t="str">
        <x:v>Yok</x:v>
      </x:c>
      <x:c r="BC77" s="133" t="str">
        <x:v>TATUS baraj point doğrudan eşleşmesi bu çalışma kitabında çözülmedi; sorgu URL'si eklendi; Koordinat eksik olduğu için akarsu ve su toplama alanı spatial sorgusu üretilemedi</x:v>
      </x:c>
    </x:row>
    <x:row r="78" ht="30" customHeight="1">
      <x:c r="A78" s="100" t="n">
        <x:v>75</x:v>
      </x:c>
      <x:c r="B78" s="32" t="str">
        <x:v>GÖKKAYA HES</x:v>
      </x:c>
      <x:c r="C78" s="32" t="str">
        <x:v>Seyhan</x:v>
      </x:c>
      <x:c r="D78" s="32" t="str">
        <x:v>Seyhan</x:v>
      </x:c>
      <x:c r="E78" s="34" t="n">
        <x:v>18</x:v>
      </x:c>
      <x:c r="F78" s="32" t="str">
        <x:v>https://cbs1.tarimorman.gov.tr/server/rest/services/TATUS/FeatureServer/11/query?where=ID%3D18&amp;outFields=ID%2CHAVZA_ADI%2CALAN_KM2&amp;returnGeometry=true&amp;outSR=4326&amp;f=geojson</x:v>
      </x:c>
      <x:c r="G78" s="32" t="str">
        <x:v>GÖKKAYA</x:v>
      </x:c>
      <x:c r="H78" s="32" t="str">
        <x:v>ADANA</x:v>
      </x:c>
      <x:c r="I78" s="36"/>
      <x:c r="J78" s="36"/>
      <x:c r="K78" s="38" t="n">
        <x:v>760</x:v>
      </x:c>
      <x:c r="L78" s="38" t="n">
        <x:v>755</x:v>
      </x:c>
      <x:c r="M78" s="32"/>
      <x:c r="N78" s="38" t="n">
        <x:v>28.54</x:v>
      </x:c>
      <x:c r="O78" s="38"/>
      <x:c r="P78" s="38"/>
      <x:c r="Q78" s="38"/>
      <x:c r="R78" s="38"/>
      <x:c r="S78" s="38"/>
      <x:c r="T78" s="40"/>
      <x:c r="U78" s="32" t="str">
        <x:v>eşleşme yok</x:v>
      </x:c>
      <x:c r="V78" s="32" t="str">
        <x:v>C</x:v>
      </x:c>
      <x:c r="W78" s="32" t="str">
        <x:v>https://www.akenerji.com.tr/santrallerimiz</x:v>
      </x:c>
      <x:c r="X78" s="32" t="str">
        <x:v>https://www.akenerji.com.tr/santrallerimiz</x:v>
      </x:c>
      <x:c r="Y78" s="32"/>
      <x:c r="Z78" s="32" t="str">
        <x:v>10</x:v>
      </x:c>
      <x:c r="AA78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78" s="133" t="str">
        <x:v>Koordinat eksik</x:v>
      </x:c>
      <x:c r="AC78" s="133" t="str">
        <x:v>—</x:v>
      </x:c>
      <x:c r="AD78" s="133"/>
      <x:c r="AE78" s="133"/>
      <x:c r="AF78" s="133"/>
      <x:c r="AG78" s="134"/>
      <x:c r="AH78" s="134"/>
      <x:c r="AI78" s="133"/>
      <x:c r="AJ78" s="133"/>
      <x:c r="AK78" s="135"/>
      <x:c r="AL78" s="133" t="str">
        <x:v>Point</x:v>
      </x:c>
      <x:c r="AM78" s="133"/>
      <x:c r="AN78" s="133" t="str">
        <x:v>Koordinat yok</x:v>
      </x:c>
      <x:c r="AO78" s="133"/>
      <x:c r="AP78" s="133"/>
      <x:c r="AQ78" s="134"/>
      <x:c r="AR78" s="134"/>
      <x:c r="AS78" s="133"/>
      <x:c r="AT78" s="133" t="str">
        <x:v>https://cbs1.tarimorman.gov.tr/server/rest/services/TATUS/FeatureServer/7/query?where=HAVZA_ID%3D18+AND+%28BarajAdi%3D%27G%C3%96KKAYA%27%29&amp;outFields=OBJECTID%2CBarajAdi%2CHavzaAdi%2CHAVZA_ID%2CIl&amp;returnGeometry=true&amp;outSR=4326&amp;f=geojson</x:v>
      </x:c>
      <x:c r="AU78" s="133" t="str">
        <x:v>Seyhan</x:v>
      </x:c>
      <x:c r="AV78" s="133" t="str">
        <x:v>Polyline / LineString</x:v>
      </x:c>
      <x:c r="AW78" s="133"/>
      <x:c r="AX78" s="133" t="str">
        <x:v>Havza ana akarsuyu ön-eşleme; TATUS spatial query ile doğrulanmalı</x:v>
      </x:c>
      <x:c r="AY78" s="133" t="str">
        <x:v>Polygon</x:v>
      </x:c>
      <x:c r="AZ78" s="133"/>
      <x:c r="BA78" s="133" t="str">
        <x:v>Santral popup: Su alanını göster</x:v>
      </x:c>
      <x:c r="BB78" s="133" t="str">
        <x:v>Yok</x:v>
      </x:c>
      <x:c r="BC78" s="133" t="str">
        <x:v>TATUS baraj point doğrudan eşleşmesi bu çalışma kitabında çözülmedi; sorgu URL'si eklendi; Koordinat eksik olduğu için akarsu ve su toplama alanı spatial sorgusu üretilemedi</x:v>
      </x:c>
    </x:row>
    <x:row r="79" ht="30" customHeight="1">
      <x:c r="A79" s="100" t="n">
        <x:v>76</x:v>
      </x:c>
      <x:c r="B79" s="32" t="str">
        <x:v>GÖKTAŞ1 HES</x:v>
      </x:c>
      <x:c r="C79" s="32" t="str">
        <x:v>Seyhan</x:v>
      </x:c>
      <x:c r="D79" s="32" t="str">
        <x:v>Seyhan</x:v>
      </x:c>
      <x:c r="E79" s="34" t="n">
        <x:v>18</x:v>
      </x:c>
      <x:c r="F79" s="32" t="str">
        <x:v>https://cbs1.tarimorman.gov.tr/server/rest/services/TATUS/FeatureServer/11/query?where=ID%3D18&amp;outFields=ID%2CHAVZA_ADI%2CALAN_KM2&amp;returnGeometry=true&amp;outSR=4326&amp;f=geojson</x:v>
      </x:c>
      <x:c r="G79" s="32" t="str">
        <x:v>GÖKTAŞ-1</x:v>
      </x:c>
      <x:c r="H79" s="32" t="str">
        <x:v>ADANA</x:v>
      </x:c>
      <x:c r="I79" s="36" t="n">
        <x:v>37.71028</x:v>
      </x:c>
      <x:c r="J79" s="36" t="n">
        <x:v>35.48</x:v>
      </x:c>
      <x:c r="K79" s="38" t="n">
        <x:v>630</x:v>
      </x:c>
      <x:c r="L79" s="38" t="n">
        <x:v>620</x:v>
      </x:c>
      <x:c r="M79" s="32"/>
      <x:c r="N79" s="38" t="n">
        <x:v>122.2</x:v>
      </x:c>
      <x:c r="O79" s="38" t="n">
        <x:v>108</x:v>
      </x:c>
      <x:c r="P79" s="38" t="n">
        <x:v>109.33</x:v>
      </x:c>
      <x:c r="Q79" s="38" t="n">
        <x:v>84.63</x:v>
      </x:c>
      <x:c r="R79" s="38" t="n">
        <x:v>7.39</x:v>
      </x:c>
      <x:c r="S79" s="38" t="n">
        <x:v>2.35</x:v>
      </x:c>
      <x:c r="T79" s="40" t="n">
        <x:v>46278.81434027778</x:v>
      </x:c>
      <x:c r="U79" s="32" t="str">
        <x:v>alias</x:v>
      </x:c>
      <x:c r="V79" s="32" t="str">
        <x:v>A</x:v>
      </x:c>
      <x:c r="W79" s="32" t="str">
        <x:v>Yüklü Debi_ve_Kurulu_Guc-13092026.xlsx</x:v>
      </x:c>
      <x:c r="X79" s="32" t="str">
        <x:v>Yüklü Debi_ve_Kurulu_Guc-13092026.xlsx</x:v>
      </x:c>
      <x:c r="Y79" s="32" t="str">
        <x:v>https://cbs1.tarimorman.gov.tr/server/rest/services/TATUS/FeatureServer/7</x:v>
      </x:c>
      <x:c r="Z79" s="32" t="str">
        <x:v>10</x:v>
      </x:c>
      <x:c r="AA79" s="101" t="str">
        <x:v>Baraj adı eşleşmesi: GÖKTAŞ-1; Kaskat alanında kaynak değeri '10' (belirsiz/sentinel)</x:v>
      </x:c>
      <x:c r="AB79" s="133" t="str">
        <x:v>Doğrulanmış koordinat mevcut</x:v>
      </x:c>
      <x:c r="AC79" s="133" t="str">
        <x:v>HES / baraj noktası</x:v>
      </x:c>
      <x:c r="AD79" s="133" t="n">
        <x:v>1395</x:v>
      </x:c>
      <x:c r="AE79" s="133" t="str">
        <x:v>GÖKTAŞ1 HES</x:v>
      </x:c>
      <x:c r="AF79" s="133" t="str">
        <x:v>Adana</x:v>
      </x:c>
      <x:c r="AG79" s="134" t="n">
        <x:v>37.725</x:v>
      </x:c>
      <x:c r="AH79" s="134" t="n">
        <x:v>35.473</x:v>
      </x:c>
      <x:c r="AI79" s="133" t="str">
        <x:v>Tam ad eşleşmesi</x:v>
      </x:c>
      <x:c r="AJ79" s="133" t="str">
        <x:v>Yüksek</x:v>
      </x:c>
      <x:c r="AK79" s="135" t="n">
        <x:v>1.749</x:v>
      </x:c>
      <x:c r="AL79" s="133" t="str">
        <x:v>Point</x:v>
      </x:c>
      <x:c r="AM79" s="133" t="str">
        <x:v>{"type": "Point", "coordinates": [35.48, 37.71028]}</x:v>
      </x:c>
      <x:c r="AN79" s="133" t="str">
        <x:v>TATUS Baraj Gözlem Point</x:v>
      </x:c>
      <x:c r="AO79" s="133" t="str">
        <x:v>GÖKTAŞ-1</x:v>
      </x:c>
      <x:c r="AP79" s="133" t="n">
        <x:v>1</x:v>
      </x:c>
      <x:c r="AQ79" s="134" t="n">
        <x:v>37.71028</x:v>
      </x:c>
      <x:c r="AR79" s="134" t="n">
        <x:v>35.48</x:v>
      </x:c>
      <x:c r="AS79" s="133" t="str">
        <x:v>{"type": "Point", "coordinates": [35.48, 37.71028]}</x:v>
      </x:c>
      <x:c r="AT79" s="133" t="str">
        <x:v>https://cbs1.tarimorman.gov.tr/server/rest/services/TATUS/FeatureServer/7/query?where=HAVZA_ID%3D18+AND+%28BarajAdi%3D%27G%C3%96KTA%C5%9E-1%27+OR+BarajAdi%3D%27G%C3%96KTA%C5%9E1%27%29&amp;outFields=OBJECTID%2CBarajAdi%2CHavzaAdi%2CHAVZA_ID%2CIl&amp;returnGeometry=true&amp;outSR=4326&amp;f=geojson</x:v>
      </x:c>
      <x:c r="AU79" s="133" t="str">
        <x:v>Seyhan</x:v>
      </x:c>
      <x:c r="AV79" s="133" t="str">
        <x:v>Polyline / LineString</x:v>
      </x:c>
      <x:c r="AW79" s="133" t="str">
        <x:v>https://cbs1.tarimorman.gov.tr/server/rest/services/TATUS/FeatureServer/8/query?where=HAVZA_ID%3D18&amp;geometry=35.480000%2C37.710280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79" s="133" t="str">
        <x:v>Havza ana akarsuyu ön-eşleme; TATUS spatial query ile doğrulanmalı</x:v>
      </x:c>
      <x:c r="AY79" s="133" t="str">
        <x:v>Polygon</x:v>
      </x:c>
      <x:c r="AZ79" s="133" t="str">
        <x:v>https://cbs1.tarimorman.gov.tr/server/rest/services/TATUS/FeatureServer/9/query?where=1%3D1&amp;geometry=35.480000%2C37.710280&amp;geometryType=esriGeometryPoint&amp;inSR=4326&amp;spatialRel=esriSpatialRelIntersects&amp;outFields=%2A&amp;returnGeometry=true&amp;outSR=4326&amp;resultRecordCount=5&amp;f=geojson</x:v>
      </x:c>
      <x:c r="BA79" s="133" t="str">
        <x:v>Santral popup: Su alanını göster</x:v>
      </x:c>
      <x:c r="BB79" s="133" t="str">
        <x:v>Yüksek</x:v>
      </x:c>
      <x:c r="BC79" s="133"/>
    </x:row>
    <x:row r="80" ht="30" customHeight="1">
      <x:c r="A80" s="100" t="n">
        <x:v>77</x:v>
      </x:c>
      <x:c r="B80" s="32" t="str">
        <x:v>GÜLLÜBAĞ HES</x:v>
      </x:c>
      <x:c r="C80" s="32" t="str">
        <x:v>Çoruh</x:v>
      </x:c>
      <x:c r="D80" s="32" t="str">
        <x:v>Çoruh</x:v>
      </x:c>
      <x:c r="E80" s="34" t="n">
        <x:v>23</x:v>
      </x:c>
      <x:c r="F80" s="32" t="str">
        <x:v>https://cbs1.tarimorman.gov.tr/server/rest/services/TATUS/FeatureServer/11/query?where=ID%3D23&amp;outFields=ID%2CHAVZA_ADI%2CALAN_KM2&amp;returnGeometry=true&amp;outSR=4326&amp;f=geojson</x:v>
      </x:c>
      <x:c r="G80" s="32" t="str">
        <x:v>GÜLLÜBAĞ</x:v>
      </x:c>
      <x:c r="H80" s="32" t="str">
        <x:v>ERZURUM</x:v>
      </x:c>
      <x:c r="I80" s="36" t="n">
        <x:v>40.544</x:v>
      </x:c>
      <x:c r="J80" s="36" t="n">
        <x:v>41.047</x:v>
      </x:c>
      <x:c r="K80" s="38" t="n">
        <x:v>1147</x:v>
      </x:c>
      <x:c r="L80" s="38" t="n">
        <x:v>1133</x:v>
      </x:c>
      <x:c r="M80" s="32" t="str">
        <x:v>ARKUN HES</x:v>
      </x:c>
      <x:c r="N80" s="38" t="n">
        <x:v>96</x:v>
      </x:c>
      <x:c r="O80" s="38"/>
      <x:c r="P80" s="38"/>
      <x:c r="Q80" s="38"/>
      <x:c r="R80" s="38"/>
      <x:c r="S80" s="38"/>
      <x:c r="T80" s="40"/>
      <x:c r="U80" s="32" t="str">
        <x:v>eşleşme yok</x:v>
      </x:c>
      <x:c r="V80" s="32" t="str">
        <x:v>C</x:v>
      </x:c>
      <x:c r="W80" s="32" t="str">
        <x:v>https://www.enerjiatlasi.com/hidroelektrik/?v=1.0.24</x:v>
      </x:c>
      <x:c r="X80" s="32" t="str">
        <x:v>https://openinframap.org/stats/area/Turkey/plants?source=hydro</x:v>
      </x:c>
      <x:c r="Y80" s="32" t="str">
        <x:v>hes_MERKEZI_LISTESI.xlsx — trafo merkezi koordinatı (yaklaşık)</x:v>
      </x:c>
      <x:c r="Z80" s="32" t="str">
        <x:v>ARKUN HES</x:v>
      </x:c>
      <x:c r="AA80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80" s="133" t="str">
        <x:v>Trafo merkezi koordinatı ile tamamlandı</x:v>
      </x:c>
      <x:c r="AC80" s="133" t="str">
        <x:v>Trafo merkezi / elektrik bağlantı noktası (yaklaşık)</x:v>
      </x:c>
      <x:c r="AD80" s="133" t="n">
        <x:v>309</x:v>
      </x:c>
      <x:c r="AE80" s="133" t="str">
        <x:v>GÜLLÜBAĞ HES</x:v>
      </x:c>
      <x:c r="AF80" s="133" t="str">
        <x:v>Erzurum</x:v>
      </x:c>
      <x:c r="AG80" s="134" t="n">
        <x:v>40.544</x:v>
      </x:c>
      <x:c r="AH80" s="134" t="n">
        <x:v>41.047</x:v>
      </x:c>
      <x:c r="AI80" s="133" t="str">
        <x:v>Tam ad eşleşmesi</x:v>
      </x:c>
      <x:c r="AJ80" s="133" t="str">
        <x:v>Yüksek</x:v>
      </x:c>
      <x:c r="AK80" s="135"/>
      <x:c r="AL80" s="133" t="str">
        <x:v>Point</x:v>
      </x:c>
      <x:c r="AM80" s="133" t="str">
        <x:v>{"type": "Point", "coordinates": [41.047, 40.544]}</x:v>
      </x:c>
      <x:c r="AN80" s="133" t="str">
        <x:v>Trafo merkezi / elektrik bağlantı noktası (yaklaşık)</x:v>
      </x:c>
      <x:c r="AO80" s="133"/>
      <x:c r="AP80" s="133"/>
      <x:c r="AQ80" s="134"/>
      <x:c r="AR80" s="134"/>
      <x:c r="AS80" s="133"/>
      <x:c r="AT80" s="133" t="str">
        <x:v>https://cbs1.tarimorman.gov.tr/server/rest/services/TATUS/FeatureServer/7/query?where=HAVZA_ID%3D23+AND+%28BarajAdi%3D%27G%C3%9CLL%C3%9CBA%C4%9E%27%29&amp;outFields=OBJECTID%2CBarajAdi%2CHavzaAdi%2CHAVZA_ID%2CIl&amp;returnGeometry=true&amp;outSR=4326&amp;f=geojson</x:v>
      </x:c>
      <x:c r="AU80" s="133" t="str">
        <x:v>Çoruh</x:v>
      </x:c>
      <x:c r="AV80" s="133" t="str">
        <x:v>Polyline / LineString</x:v>
      </x:c>
      <x:c r="AW80" s="133" t="str">
        <x:v>https://cbs1.tarimorman.gov.tr/server/rest/services/TATUS/FeatureServer/8/query?where=HAVZA_ID%3D23&amp;geometry=41.047000%2C40.544000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0" s="133" t="str">
        <x:v>Havza ana akarsuyu ön-eşleme; TATUS spatial query ile doğrulanmalı</x:v>
      </x:c>
      <x:c r="AY80" s="133" t="str">
        <x:v>Polygon</x:v>
      </x:c>
      <x:c r="AZ80" s="133" t="str">
        <x:v>https://cbs1.tarimorman.gov.tr/server/rest/services/TATUS/FeatureServer/9/query?where=1%3D1&amp;geometry=41.047000%2C40.544000&amp;geometryType=esriGeometryPoint&amp;inSR=4326&amp;spatialRel=esriSpatialRelIntersects&amp;outFields=%2A&amp;returnGeometry=true&amp;outSR=4326&amp;resultRecordCount=5&amp;f=geojson</x:v>
      </x:c>
      <x:c r="BA80" s="133" t="str">
        <x:v>Santral popup: Su alanını göster</x:v>
      </x:c>
      <x:c r="BB80" s="133" t="str">
        <x:v>Orta-Düşük</x:v>
      </x:c>
      <x:c r="BC80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81" ht="30" customHeight="1">
      <x:c r="A81" s="100" t="n">
        <x:v>78</x:v>
      </x:c>
      <x:c r="B81" s="32" t="str">
        <x:v>GÜMÜŞÖREN HES</x:v>
      </x:c>
      <x:c r="C81" s="32" t="str">
        <x:v>Seyhan</x:v>
      </x:c>
      <x:c r="D81" s="32" t="str">
        <x:v>Seyhan</x:v>
      </x:c>
      <x:c r="E81" s="34" t="n">
        <x:v>18</x:v>
      </x:c>
      <x:c r="F81" s="32" t="str">
        <x:v>https://cbs1.tarimorman.gov.tr/server/rest/services/TATUS/FeatureServer/11/query?where=ID%3D18&amp;outFields=ID%2CHAVZA_ADI%2CALAN_KM2&amp;returnGeometry=true&amp;outSR=4326&amp;f=geojson</x:v>
      </x:c>
      <x:c r="G81" s="32" t="str">
        <x:v>GÜMÜŞÖREN</x:v>
      </x:c>
      <x:c r="H81" s="32" t="str">
        <x:v>KAYSERİ</x:v>
      </x:c>
      <x:c r="I81" s="36" t="n">
        <x:v>38.25815</x:v>
      </x:c>
      <x:c r="J81" s="36" t="n">
        <x:v>35.62442</x:v>
      </x:c>
      <x:c r="K81" s="38" t="n">
        <x:v>1297.5</x:v>
      </x:c>
      <x:c r="L81" s="38" t="n">
        <x:v>1285</x:v>
      </x:c>
      <x:c r="M81" s="32"/>
      <x:c r="N81" s="38" t="n">
        <x:v>5</x:v>
      </x:c>
      <x:c r="O81" s="38" t="n">
        <x:v>26</x:v>
      </x:c>
      <x:c r="P81" s="38" t="n">
        <x:v>186.53</x:v>
      </x:c>
      <x:c r="Q81" s="38" t="n">
        <x:v>34.03</x:v>
      </x:c>
      <x:c r="R81" s="38" t="n">
        <x:v>116.89</x:v>
      </x:c>
      <x:c r="S81" s="38" t="n">
        <x:v>7.45</x:v>
      </x:c>
      <x:c r="T81" s="40" t="n">
        <x:v>46278.81434027778</x:v>
      </x:c>
      <x:c r="U81" s="32" t="str">
        <x:v>exact</x:v>
      </x:c>
      <x:c r="V81" s="32" t="str">
        <x:v>B</x:v>
      </x:c>
      <x:c r="W81" s="32" t="str">
        <x:v>Yüklü Debi_ve_Kurulu_Guc-13092026.xlsx</x:v>
      </x:c>
      <x:c r="X81" s="32" t="str">
        <x:v>Yüklü Debi_ve_Kurulu_Guc-13092026.xlsx</x:v>
      </x:c>
      <x:c r="Y81" s="32" t="str">
        <x:v>TATUS Baraj Gözlem İstasyonları (FeatureServer/7) fallback</x:v>
      </x:c>
      <x:c r="Z81" s="32" t="str">
        <x:v>10</x:v>
      </x:c>
      <x:c r="AA81" s="101" t="str">
        <x:v>Kaskat alanında kaynak değeri '10' (belirsiz/sentinel); Koordinat güvenilir açık kaynaktan doğrulanamadı; TATUS baraj noktası fallback: GÜMÜŞÖREN (exact); 1 nokta</x:v>
      </x:c>
      <x:c r="AB81" s="133" t="str">
        <x:v>TATUS baraj gözlem istasyonu ile tamamlandı</x:v>
      </x:c>
      <x:c r="AC81" s="133" t="str">
        <x:v>Baraj gözlem istasyonu (TATUS fallback)</x:v>
      </x:c>
      <x:c r="AD81" s="133"/>
      <x:c r="AE81" s="133"/>
      <x:c r="AF81" s="133"/>
      <x:c r="AG81" s="134"/>
      <x:c r="AH81" s="134"/>
      <x:c r="AI81" s="133"/>
      <x:c r="AJ81" s="133"/>
      <x:c r="AK81" s="135"/>
      <x:c r="AL81" s="133" t="str">
        <x:v>Point</x:v>
      </x:c>
      <x:c r="AM81" s="133" t="str">
        <x:v>{"type": "Point", "coordinates": [35.62442, 38.25815]}</x:v>
      </x:c>
      <x:c r="AN81" s="133" t="str">
        <x:v>TATUS Baraj Gözlem Point</x:v>
      </x:c>
      <x:c r="AO81" s="133" t="str">
        <x:v>GÜMÜŞÖREN</x:v>
      </x:c>
      <x:c r="AP81" s="133" t="n">
        <x:v>1</x:v>
      </x:c>
      <x:c r="AQ81" s="134" t="n">
        <x:v>38.25815</x:v>
      </x:c>
      <x:c r="AR81" s="134" t="n">
        <x:v>35.62442</x:v>
      </x:c>
      <x:c r="AS81" s="133" t="str">
        <x:v>{"type": "Point", "coordinates": [35.62442, 38.25815]}</x:v>
      </x:c>
      <x:c r="AT81" s="133" t="str">
        <x:v>https://cbs1.tarimorman.gov.tr/server/rest/services/TATUS/FeatureServer/7/query?where=HAVZA_ID%3D18+AND+%28BarajAdi%3D%27G%C3%9CM%C3%9C%C5%9E%C3%96REN%27%29&amp;outFields=OBJECTID%2CBarajAdi%2CHavzaAdi%2CHAVZA_ID%2CIl&amp;returnGeometry=true&amp;outSR=4326&amp;f=geojson</x:v>
      </x:c>
      <x:c r="AU81" s="133" t="str">
        <x:v>Seyhan</x:v>
      </x:c>
      <x:c r="AV81" s="133" t="str">
        <x:v>Polyline / LineString</x:v>
      </x:c>
      <x:c r="AW81" s="133" t="str">
        <x:v>https://cbs1.tarimorman.gov.tr/server/rest/services/TATUS/FeatureServer/8/query?where=HAVZA_ID%3D18&amp;geometry=35.624420%2C38.258150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1" s="133" t="str">
        <x:v>Havza ana akarsuyu ön-eşleme; TATUS spatial query ile doğrulanmalı</x:v>
      </x:c>
      <x:c r="AY81" s="133" t="str">
        <x:v>Polygon</x:v>
      </x:c>
      <x:c r="AZ81" s="133" t="str">
        <x:v>https://cbs1.tarimorman.gov.tr/server/rest/services/TATUS/FeatureServer/9/query?where=1%3D1&amp;geometry=35.624420%2C38.258150&amp;geometryType=esriGeometryPoint&amp;inSR=4326&amp;spatialRel=esriSpatialRelIntersects&amp;outFields=%2A&amp;returnGeometry=true&amp;outSR=4326&amp;resultRecordCount=5&amp;f=geojson</x:v>
      </x:c>
      <x:c r="BA81" s="133" t="str">
        <x:v>Santral popup: Su alanını göster</x:v>
      </x:c>
      <x:c r="BB81" s="133" t="str">
        <x:v>Yüksek-Orta</x:v>
      </x:c>
      <x:c r="BC81" s="133"/>
    </x:row>
    <x:row r="82" ht="30" customHeight="1">
      <x:c r="A82" s="100" t="n">
        <x:v>79</x:v>
      </x:c>
      <x:c r="B82" s="32" t="str">
        <x:v>GÜNDER HES</x:v>
      </x:c>
      <x:c r="C82" s="32" t="str">
        <x:v>Orta Akdeniz</x:v>
      </x:c>
      <x:c r="D82" s="32" t="str">
        <x:v>Antalya</x:v>
      </x:c>
      <x:c r="E82" s="34" t="n">
        <x:v>9</x:v>
      </x:c>
      <x:c r="F82" s="32" t="str">
        <x:v>https://cbs1.tarimorman.gov.tr/server/rest/services/TATUS/FeatureServer/11/query?where=ID%3D9&amp;outFields=ID%2CHAVZA_ADI%2CALAN_KM2&amp;returnGeometry=true&amp;outSR=4326&amp;f=geojson</x:v>
      </x:c>
      <x:c r="G82" s="32" t="str">
        <x:v>GÜNDER</x:v>
      </x:c>
      <x:c r="H82" s="32" t="str">
        <x:v>KARAMAN</x:v>
      </x:c>
      <x:c r="I82" s="36"/>
      <x:c r="J82" s="36"/>
      <x:c r="K82" s="38" t="n">
        <x:v>1038.5</x:v>
      </x:c>
      <x:c r="L82" s="38" t="n">
        <x:v>1036</x:v>
      </x:c>
      <x:c r="M82" s="32"/>
      <x:c r="N82" s="38" t="n">
        <x:v>28.22</x:v>
      </x:c>
      <x:c r="O82" s="38"/>
      <x:c r="P82" s="38"/>
      <x:c r="Q82" s="38"/>
      <x:c r="R82" s="38"/>
      <x:c r="S82" s="38"/>
      <x:c r="T82" s="40"/>
      <x:c r="U82" s="32" t="str">
        <x:v>eşleşme yok</x:v>
      </x:c>
      <x:c r="V82" s="32" t="str">
        <x:v>C</x:v>
      </x:c>
      <x:c r="W82" s="32" t="str">
        <x:v>https://www.epdk.gov.tr/Detay/Icerik/4-12934/arikenerjiuretimsirketisantralsahasihk</x:v>
      </x:c>
      <x:c r="X82" s="32" t="str">
        <x:v>https://www.epdk.gov.tr/Detay/Icerik/4-12934/arikenerjiuretimsirketisantralsahasihk</x:v>
      </x:c>
      <x:c r="Y82" s="32"/>
      <x:c r="Z82" s="32" t="str">
        <x:v>10</x:v>
      </x:c>
      <x:c r="AA82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82" s="133" t="str">
        <x:v>Koordinat eksik</x:v>
      </x:c>
      <x:c r="AC82" s="133" t="str">
        <x:v>—</x:v>
      </x:c>
      <x:c r="AD82" s="133"/>
      <x:c r="AE82" s="133"/>
      <x:c r="AF82" s="133"/>
      <x:c r="AG82" s="134"/>
      <x:c r="AH82" s="134"/>
      <x:c r="AI82" s="133"/>
      <x:c r="AJ82" s="133"/>
      <x:c r="AK82" s="135"/>
      <x:c r="AL82" s="133" t="str">
        <x:v>Point</x:v>
      </x:c>
      <x:c r="AM82" s="133"/>
      <x:c r="AN82" s="133" t="str">
        <x:v>Koordinat yok</x:v>
      </x:c>
      <x:c r="AO82" s="133"/>
      <x:c r="AP82" s="133"/>
      <x:c r="AQ82" s="134"/>
      <x:c r="AR82" s="134"/>
      <x:c r="AS82" s="133"/>
      <x:c r="AT82" s="133" t="str">
        <x:v>https://cbs1.tarimorman.gov.tr/server/rest/services/TATUS/FeatureServer/7/query?where=HAVZA_ID%3D9+AND+%28BarajAdi%3D%27G%C3%9CNDER%27%29&amp;outFields=OBJECTID%2CBarajAdi%2CHavzaAdi%2CHAVZA_ID%2CIl&amp;returnGeometry=true&amp;outSR=4326&amp;f=geojson</x:v>
      </x:c>
      <x:c r="AU82" s="133"/>
      <x:c r="AV82" s="133" t="str">
        <x:v>Polyline / LineString</x:v>
      </x:c>
      <x:c r="AW82" s="133"/>
      <x:c r="AX82" s="133" t="str">
        <x:v>Koordinat yok; spatial eşleme yapılamadı</x:v>
      </x:c>
      <x:c r="AY82" s="133" t="str">
        <x:v>Polygon</x:v>
      </x:c>
      <x:c r="AZ82" s="133"/>
      <x:c r="BA82" s="133" t="str">
        <x:v>Santral popup: Su alanını göster</x:v>
      </x:c>
      <x:c r="BB82" s="133" t="str">
        <x:v>Yok</x:v>
      </x:c>
      <x:c r="BC82" s="133" t="str">
        <x:v>TATUS baraj point doğrudan eşleşmesi bu çalışma kitabında çözülmedi; sorgu URL'si eklendi; Koordinat eksik olduğu için akarsu ve su toplama alanı spatial sorgusu üretilemedi</x:v>
      </x:c>
    </x:row>
    <x:row r="83" ht="30" customHeight="1">
      <x:c r="A83" s="100" t="n">
        <x:v>80</x:v>
      </x:c>
      <x:c r="B83" s="32" t="str">
        <x:v>GÜRSÖĞÜT HES</x:v>
      </x:c>
      <x:c r="C83" s="32" t="str">
        <x:v>Sakarya</x:v>
      </x:c>
      <x:c r="D83" s="32" t="str">
        <x:v>Sakarya</x:v>
      </x:c>
      <x:c r="E83" s="34" t="n">
        <x:v>12</x:v>
      </x:c>
      <x:c r="F83" s="32" t="str">
        <x:v>https://cbs1.tarimorman.gov.tr/server/rest/services/TATUS/FeatureServer/11/query?where=ID%3D12&amp;outFields=ID%2CHAVZA_ADI%2CALAN_KM2&amp;returnGeometry=true&amp;outSR=4326&amp;f=geojson</x:v>
      </x:c>
      <x:c r="G83" s="32" t="str">
        <x:v>GÜRSÖĞÜT-1 BARAJI</x:v>
      </x:c>
      <x:c r="H83" s="32" t="str">
        <x:v>ANKARA</x:v>
      </x:c>
      <x:c r="I83" s="36" t="n">
        <x:v>39.855</x:v>
      </x:c>
      <x:c r="J83" s="36" t="n">
        <x:v>31.901</x:v>
      </x:c>
      <x:c r="K83" s="38" t="n">
        <x:v>649</x:v>
      </x:c>
      <x:c r="L83" s="38" t="n">
        <x:v>642</x:v>
      </x:c>
      <x:c r="M83" s="32" t="str">
        <x:v>KARGI HES</x:v>
      </x:c>
      <x:c r="N83" s="38" t="n">
        <x:v>39.6</x:v>
      </x:c>
      <x:c r="O83" s="38" t="n">
        <x:v>75.4</x:v>
      </x:c>
      <x:c r="P83" s="38" t="n">
        <x:v>76.86</x:v>
      </x:c>
      <x:c r="Q83" s="38" t="n">
        <x:v>48.58</x:v>
      </x:c>
      <x:c r="R83" s="38" t="n">
        <x:v>16.44</x:v>
      </x:c>
      <x:c r="S83" s="38" t="n">
        <x:v>2.38</x:v>
      </x:c>
      <x:c r="T83" s="40" t="n">
        <x:v>46278.81434027778</x:v>
      </x:c>
      <x:c r="U83" s="32" t="str">
        <x:v>fuzzy</x:v>
      </x:c>
      <x:c r="V83" s="32" t="str">
        <x:v>B</x:v>
      </x:c>
      <x:c r="W83" s="32" t="str">
        <x:v>Yüklü Debi_ve_Kurulu_Guc-13092026.xlsx</x:v>
      </x:c>
      <x:c r="X83" s="32" t="str">
        <x:v>Yüklü Debi_ve_Kurulu_Guc-13092026.xlsx</x:v>
      </x:c>
      <x:c r="Y83" s="32" t="str">
        <x:v>hes_MERKEZI_LISTESI.xlsx — trafo merkezi koordinatı (yaklaşık)</x:v>
      </x:c>
      <x:c r="Z83" s="32" t="str">
        <x:v>KARGI HES</x:v>
      </x:c>
      <x:c r="AA83" s="101" t="str">
        <x:v>Baraj adı eşleşmesi: GÜRSÖĞÜT-1 BARAJI; Koordinat güvenilir açık kaynaktan doğrulanamadı; Santral/baraj kesin koordinatı doğrulanamadığı için eşleşen trafo merkezi koordinatı harita referansı olarak kullanıldı; kesin HES konumu değildir.</x:v>
      </x:c>
      <x:c r="AB83" s="133" t="str">
        <x:v>Trafo merkezi koordinatı ile tamamlandı</x:v>
      </x:c>
      <x:c r="AC83" s="133" t="str">
        <x:v>Trafo merkezi / elektrik bağlantı noktası (yaklaşık)</x:v>
      </x:c>
      <x:c r="AD83" s="133" t="n">
        <x:v>1771</x:v>
      </x:c>
      <x:c r="AE83" s="133" t="str">
        <x:v>GÜRSÖĞÜT HES</x:v>
      </x:c>
      <x:c r="AF83" s="133" t="str">
        <x:v>Ankara</x:v>
      </x:c>
      <x:c r="AG83" s="134" t="n">
        <x:v>39.855</x:v>
      </x:c>
      <x:c r="AH83" s="134" t="n">
        <x:v>31.901</x:v>
      </x:c>
      <x:c r="AI83" s="133" t="str">
        <x:v>Tam ad eşleşmesi</x:v>
      </x:c>
      <x:c r="AJ83" s="133" t="str">
        <x:v>Yüksek</x:v>
      </x:c>
      <x:c r="AK83" s="135"/>
      <x:c r="AL83" s="133" t="str">
        <x:v>Point</x:v>
      </x:c>
      <x:c r="AM83" s="133" t="str">
        <x:v>{"type": "Point", "coordinates": [31.901, 39.855]}</x:v>
      </x:c>
      <x:c r="AN83" s="133" t="str">
        <x:v>Trafo merkezi / elektrik bağlantı noktası (yaklaşık)</x:v>
      </x:c>
      <x:c r="AO83" s="133"/>
      <x:c r="AP83" s="133"/>
      <x:c r="AQ83" s="134"/>
      <x:c r="AR83" s="134"/>
      <x:c r="AS83" s="133"/>
      <x:c r="AT83" s="133" t="str">
        <x:v>https://cbs1.tarimorman.gov.tr/server/rest/services/TATUS/FeatureServer/7/query?where=HAVZA_ID%3D12+AND+%28BarajAdi%3D%27G%C3%9CRS%C3%96%C4%9E%C3%9CT-1+BARAJI%27+OR+BarajAdi%3D%27G%C3%9CRS%C3%96%C4%9E%C3%9CT%27%29&amp;outFields=OBJECTID%2CBarajAdi%2CHavzaAdi%2CHAVZA_ID%2CIl&amp;returnGeometry=true&amp;outSR=4326&amp;f=geojson</x:v>
      </x:c>
      <x:c r="AU83" s="133" t="str">
        <x:v>Sakarya</x:v>
      </x:c>
      <x:c r="AV83" s="133" t="str">
        <x:v>Polyline / LineString</x:v>
      </x:c>
      <x:c r="AW83" s="133" t="str">
        <x:v>https://cbs1.tarimorman.gov.tr/server/rest/services/TATUS/FeatureServer/8/query?where=HAVZA_ID%3D12&amp;geometry=31.901000%2C39.855000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3" s="133" t="str">
        <x:v>Havza ana akarsuyu ön-eşleme; TATUS spatial query ile doğrulanmalı</x:v>
      </x:c>
      <x:c r="AY83" s="133" t="str">
        <x:v>Polygon</x:v>
      </x:c>
      <x:c r="AZ83" s="133" t="str">
        <x:v>https://cbs1.tarimorman.gov.tr/server/rest/services/TATUS/FeatureServer/9/query?where=1%3D1&amp;geometry=31.901000%2C39.855000&amp;geometryType=esriGeometryPoint&amp;inSR=4326&amp;spatialRel=esriSpatialRelIntersects&amp;outFields=%2A&amp;returnGeometry=true&amp;outSR=4326&amp;resultRecordCount=5&amp;f=geojson</x:v>
      </x:c>
      <x:c r="BA83" s="133" t="str">
        <x:v>Santral popup: Su alanını göster</x:v>
      </x:c>
      <x:c r="BB83" s="133" t="str">
        <x:v>Orta-Düşük</x:v>
      </x:c>
      <x:c r="BC83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84" ht="30" customHeight="1">
      <x:c r="A84" s="100" t="n">
        <x:v>81</x:v>
      </x:c>
      <x:c r="B84" s="32" t="str">
        <x:v>HACININOĞLU HES</x:v>
      </x:c>
      <x:c r="C84" s="32" t="str">
        <x:v>Ceyhan</x:v>
      </x:c>
      <x:c r="D84" s="32" t="str">
        <x:v>Ceyhan</x:v>
      </x:c>
      <x:c r="E84" s="34" t="n">
        <x:v>20</x:v>
      </x:c>
      <x:c r="F84" s="32" t="str">
        <x:v>https://cbs1.tarimorman.gov.tr/server/rest/services/TATUS/FeatureServer/11/query?where=ID%3D20&amp;outFields=ID%2CHAVZA_ADI%2CALAN_KM2&amp;returnGeometry=true&amp;outSR=4326&amp;f=geojson</x:v>
      </x:c>
      <x:c r="G84" s="32" t="str">
        <x:v>HACININOĞLU</x:v>
      </x:c>
      <x:c r="H84" s="32" t="str">
        <x:v>KAHRAMANMARAŞ</x:v>
      </x:c>
      <x:c r="I84" s="36" t="n">
        <x:v>37.829</x:v>
      </x:c>
      <x:c r="J84" s="36" t="n">
        <x:v>36.971</x:v>
      </x:c>
      <x:c r="K84" s="38" t="n">
        <x:v>748</x:v>
      </x:c>
      <x:c r="L84" s="38" t="n">
        <x:v>744</x:v>
      </x:c>
      <x:c r="M84" s="32"/>
      <x:c r="N84" s="38" t="n">
        <x:v>142</x:v>
      </x:c>
      <x:c r="O84" s="38"/>
      <x:c r="P84" s="38"/>
      <x:c r="Q84" s="38"/>
      <x:c r="R84" s="38"/>
      <x:c r="S84" s="38"/>
      <x:c r="T84" s="40"/>
      <x:c r="U84" s="32" t="str">
        <x:v>eşleşme yok</x:v>
      </x:c>
      <x:c r="V84" s="32" t="str">
        <x:v>C</x:v>
      </x:c>
      <x:c r="W84" s="32" t="str">
        <x:v>https://www.enerjiatlasi.com/hidroelektrik/?v=1.0.24</x:v>
      </x:c>
      <x:c r="X84" s="32" t="str">
        <x:v>https://openinframap.org/stats/area/Turkey/plants?source=hydro</x:v>
      </x:c>
      <x:c r="Y84" s="32" t="str">
        <x:v>hes_MERKEZI_LISTESI.xlsx — trafo merkezi koordinatı (yaklaşık)</x:v>
      </x:c>
      <x:c r="Z84" s="32" t="str">
        <x:v>10</x:v>
      </x:c>
      <x:c r="AA84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84" s="133" t="str">
        <x:v>Trafo merkezi koordinatı ile tamamlandı</x:v>
      </x:c>
      <x:c r="AC84" s="133" t="str">
        <x:v>Trafo merkezi / elektrik bağlantı noktası (yaklaşık)</x:v>
      </x:c>
      <x:c r="AD84" s="133" t="n">
        <x:v>689</x:v>
      </x:c>
      <x:c r="AE84" s="133" t="str">
        <x:v>HACININOĞLU HES</x:v>
      </x:c>
      <x:c r="AF84" s="133" t="str">
        <x:v>Kahramanmaraş</x:v>
      </x:c>
      <x:c r="AG84" s="134" t="n">
        <x:v>37.829</x:v>
      </x:c>
      <x:c r="AH84" s="134" t="n">
        <x:v>36.971</x:v>
      </x:c>
      <x:c r="AI84" s="133" t="str">
        <x:v>Tam ad eşleşmesi</x:v>
      </x:c>
      <x:c r="AJ84" s="133" t="str">
        <x:v>Yüksek</x:v>
      </x:c>
      <x:c r="AK84" s="135"/>
      <x:c r="AL84" s="133" t="str">
        <x:v>Point</x:v>
      </x:c>
      <x:c r="AM84" s="133" t="str">
        <x:v>{"type": "Point", "coordinates": [36.971, 37.829]}</x:v>
      </x:c>
      <x:c r="AN84" s="133" t="str">
        <x:v>Trafo merkezi / elektrik bağlantı noktası (yaklaşık)</x:v>
      </x:c>
      <x:c r="AO84" s="133"/>
      <x:c r="AP84" s="133"/>
      <x:c r="AQ84" s="134"/>
      <x:c r="AR84" s="134"/>
      <x:c r="AS84" s="133"/>
      <x:c r="AT84" s="133" t="str">
        <x:v>https://cbs1.tarimorman.gov.tr/server/rest/services/TATUS/FeatureServer/7/query?where=HAVZA_ID%3D20+AND+%28BarajAdi%3D%27HACININO%C4%9ELU%27%29&amp;outFields=OBJECTID%2CBarajAdi%2CHavzaAdi%2CHAVZA_ID%2CIl&amp;returnGeometry=true&amp;outSR=4326&amp;f=geojson</x:v>
      </x:c>
      <x:c r="AU84" s="133" t="str">
        <x:v>Ceyhan</x:v>
      </x:c>
      <x:c r="AV84" s="133" t="str">
        <x:v>Polyline / LineString</x:v>
      </x:c>
      <x:c r="AW84" s="133" t="str">
        <x:v>https://cbs1.tarimorman.gov.tr/server/rest/services/TATUS/FeatureServer/8/query?where=HAVZA_ID%3D20&amp;geometry=36.971000%2C37.829000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4" s="133" t="str">
        <x:v>Havza ana akarsuyu ön-eşleme; TATUS spatial query ile doğrulanmalı</x:v>
      </x:c>
      <x:c r="AY84" s="133" t="str">
        <x:v>Polygon</x:v>
      </x:c>
      <x:c r="AZ84" s="133" t="str">
        <x:v>https://cbs1.tarimorman.gov.tr/server/rest/services/TATUS/FeatureServer/9/query?where=1%3D1&amp;geometry=36.971000%2C37.829000&amp;geometryType=esriGeometryPoint&amp;inSR=4326&amp;spatialRel=esriSpatialRelIntersects&amp;outFields=%2A&amp;returnGeometry=true&amp;outSR=4326&amp;resultRecordCount=5&amp;f=geojson</x:v>
      </x:c>
      <x:c r="BA84" s="133" t="str">
        <x:v>Santral popup: Su alanını göster</x:v>
      </x:c>
      <x:c r="BB84" s="133" t="str">
        <x:v>Orta-Düşük</x:v>
      </x:c>
      <x:c r="BC84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85" ht="30" customHeight="1">
      <x:c r="A85" s="100" t="n">
        <x:v>82</x:v>
      </x:c>
      <x:c r="B85" s="32" t="str">
        <x:v>HASANLAR HES</x:v>
      </x:c>
      <x:c r="C85" s="32" t="str">
        <x:v>Batı Karadeniz</x:v>
      </x:c>
      <x:c r="D85" s="32" t="str">
        <x:v>Batı Karadeniz</x:v>
      </x:c>
      <x:c r="E85" s="34" t="n">
        <x:v>13</x:v>
      </x:c>
      <x:c r="F85" s="32" t="str">
        <x:v>https://cbs1.tarimorman.gov.tr/server/rest/services/TATUS/FeatureServer/11/query?where=ID%3D13&amp;outFields=ID%2CHAVZA_ADI%2CALAN_KM2&amp;returnGeometry=true&amp;outSR=4326&amp;f=geojson</x:v>
      </x:c>
      <x:c r="G85" s="32" t="str">
        <x:v>HASANLAR</x:v>
      </x:c>
      <x:c r="H85" s="32" t="str">
        <x:v>DÜZCE</x:v>
      </x:c>
      <x:c r="I85" s="36" t="n">
        <x:v>40.91051</x:v>
      </x:c>
      <x:c r="J85" s="36" t="n">
        <x:v>31.27641</x:v>
      </x:c>
      <x:c r="K85" s="38" t="n">
        <x:v>255.5</x:v>
      </x:c>
      <x:c r="L85" s="38" t="n">
        <x:v>225.5</x:v>
      </x:c>
      <x:c r="M85" s="32"/>
      <x:c r="N85" s="38" t="n">
        <x:v>9.4</x:v>
      </x:c>
      <x:c r="O85" s="38" t="n">
        <x:v>22</x:v>
      </x:c>
      <x:c r="P85" s="38" t="n">
        <x:v>34.24</x:v>
      </x:c>
      <x:c r="Q85" s="38" t="n">
        <x:v>0</x:v>
      </x:c>
      <x:c r="R85" s="38" t="n">
        <x:v>12.64</x:v>
      </x:c>
      <x:c r="S85" s="38" t="n">
        <x:v>1.33</x:v>
      </x:c>
      <x:c r="T85" s="40" t="n">
        <x:v>46278.81434027778</x:v>
      </x:c>
      <x:c r="U85" s="32" t="str">
        <x:v>exact</x:v>
      </x:c>
      <x:c r="V85" s="32" t="str">
        <x:v>B</x:v>
      </x:c>
      <x:c r="W85" s="32" t="str">
        <x:v>Yüklü Debi_ve_Kurulu_Guc-13092026.xlsx</x:v>
      </x:c>
      <x:c r="X85" s="32" t="str">
        <x:v>Yüklü Debi_ve_Kurulu_Guc-13092026.xlsx</x:v>
      </x:c>
      <x:c r="Y85" s="32" t="str">
        <x:v>TATUS Baraj Gözlem İstasyonları (FeatureServer/7) fallback</x:v>
      </x:c>
      <x:c r="Z85" s="32" t="str">
        <x:v>10</x:v>
      </x:c>
      <x:c r="AA85" s="101" t="str">
        <x:v>Kaskat alanında kaynak değeri '10' (belirsiz/sentinel); Koordinat güvenilir açık kaynaktan doğrulanamadı; TATUS baraj noktası fallback: HASANLAR (exact); 1 nokta</x:v>
      </x:c>
      <x:c r="AB85" s="133" t="str">
        <x:v>TATUS baraj gözlem istasyonu ile tamamlandı</x:v>
      </x:c>
      <x:c r="AC85" s="133" t="str">
        <x:v>Baraj gözlem istasyonu (TATUS fallback)</x:v>
      </x:c>
      <x:c r="AD85" s="133"/>
      <x:c r="AE85" s="133"/>
      <x:c r="AF85" s="133"/>
      <x:c r="AG85" s="134"/>
      <x:c r="AH85" s="134"/>
      <x:c r="AI85" s="133"/>
      <x:c r="AJ85" s="133"/>
      <x:c r="AK85" s="135"/>
      <x:c r="AL85" s="133" t="str">
        <x:v>Point</x:v>
      </x:c>
      <x:c r="AM85" s="133" t="str">
        <x:v>{"type": "Point", "coordinates": [31.27641, 40.91051]}</x:v>
      </x:c>
      <x:c r="AN85" s="133" t="str">
        <x:v>TATUS Baraj Gözlem Point</x:v>
      </x:c>
      <x:c r="AO85" s="133" t="str">
        <x:v>HASANLAR</x:v>
      </x:c>
      <x:c r="AP85" s="133" t="n">
        <x:v>1</x:v>
      </x:c>
      <x:c r="AQ85" s="134" t="n">
        <x:v>40.91051</x:v>
      </x:c>
      <x:c r="AR85" s="134" t="n">
        <x:v>31.27641</x:v>
      </x:c>
      <x:c r="AS85" s="133" t="str">
        <x:v>{"type": "Point", "coordinates": [31.27641, 40.91051]}</x:v>
      </x:c>
      <x:c r="AT85" s="133" t="str">
        <x:v>https://cbs1.tarimorman.gov.tr/server/rest/services/TATUS/FeatureServer/7/query?where=HAVZA_ID%3D13+AND+%28BarajAdi%3D%27HASANLAR%27%29&amp;outFields=OBJECTID%2CBarajAdi%2CHavzaAdi%2CHAVZA_ID%2CIl&amp;returnGeometry=true&amp;outSR=4326&amp;f=geojson</x:v>
      </x:c>
      <x:c r="AU85" s="133"/>
      <x:c r="AV85" s="133" t="str">
        <x:v>Polyline / LineString</x:v>
      </x:c>
      <x:c r="AW85" s="133" t="str">
        <x:v>https://cbs1.tarimorman.gov.tr/server/rest/services/TATUS/FeatureServer/8/query?where=HAVZA_ID%3D13&amp;geometry=31.276410%2C40.910510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5" s="133" t="str">
        <x:v>TATUS spatial query hazır; en yakın/uygun LineString seçilmeli</x:v>
      </x:c>
      <x:c r="AY85" s="133" t="str">
        <x:v>Polygon</x:v>
      </x:c>
      <x:c r="AZ85" s="133" t="str">
        <x:v>https://cbs1.tarimorman.gov.tr/server/rest/services/TATUS/FeatureServer/9/query?where=1%3D1&amp;geometry=31.276410%2C40.910510&amp;geometryType=esriGeometryPoint&amp;inSR=4326&amp;spatialRel=esriSpatialRelIntersects&amp;outFields=%2A&amp;returnGeometry=true&amp;outSR=4326&amp;resultRecordCount=5&amp;f=geojson</x:v>
      </x:c>
      <x:c r="BA85" s="133" t="str">
        <x:v>Santral popup: Su alanını göster</x:v>
      </x:c>
      <x:c r="BB85" s="133" t="str">
        <x:v>Yüksek-Orta</x:v>
      </x:c>
      <x:c r="BC85" s="133"/>
    </x:row>
    <x:row r="86" ht="30" customHeight="1">
      <x:c r="A86" s="100" t="n">
        <x:v>83</x:v>
      </x:c>
      <x:c r="B86" s="32" t="str">
        <x:v>HASAN UĞURLU HES</x:v>
      </x:c>
      <x:c r="C86" s="32" t="str">
        <x:v>Yeşilırmak</x:v>
      </x:c>
      <x:c r="D86" s="32" t="str">
        <x:v>Yeşilırmak</x:v>
      </x:c>
      <x:c r="E86" s="34" t="n">
        <x:v>14</x:v>
      </x:c>
      <x:c r="F86" s="32" t="str">
        <x:v>https://cbs1.tarimorman.gov.tr/server/rest/services/TATUS/FeatureServer/11/query?where=ID%3D14&amp;outFields=ID%2CHAVZA_ADI%2CALAN_KM2&amp;returnGeometry=true&amp;outSR=4326&amp;f=geojson</x:v>
      </x:c>
      <x:c r="G86" s="32" t="str">
        <x:v>H.UĞURLU</x:v>
      </x:c>
      <x:c r="H86" s="32" t="str">
        <x:v>SAMSUN</x:v>
      </x:c>
      <x:c r="I86" s="36" t="n">
        <x:v>40.93654</x:v>
      </x:c>
      <x:c r="J86" s="36" t="n">
        <x:v>36.64676</x:v>
      </x:c>
      <x:c r="K86" s="38" t="n">
        <x:v>190</x:v>
      </x:c>
      <x:c r="L86" s="38" t="n">
        <x:v>150</x:v>
      </x:c>
      <x:c r="M86" s="32" t="str">
        <x:v>SUAT UĞURLU HES</x:v>
      </x:c>
      <x:c r="N86" s="38" t="n">
        <x:v>500</x:v>
      </x:c>
      <x:c r="O86" s="38" t="n">
        <x:v>520</x:v>
      </x:c>
      <x:c r="P86" s="38" t="n">
        <x:v>740.92</x:v>
      </x:c>
      <x:c r="Q86" s="38" t="n">
        <x:v>183.2</x:v>
      </x:c>
      <x:c r="R86" s="38" t="n">
        <x:v>307.82</x:v>
      </x:c>
      <x:c r="S86" s="38" t="n">
        <x:v>82.09</x:v>
      </x:c>
      <x:c r="T86" s="40" t="n">
        <x:v>46278.81434027778</x:v>
      </x:c>
      <x:c r="U86" s="32" t="str">
        <x:v>alias</x:v>
      </x:c>
      <x:c r="V86" s="32" t="str">
        <x:v>A</x:v>
      </x:c>
      <x:c r="W86" s="32" t="str">
        <x:v>Yüklü Debi_ve_Kurulu_Guc-13092026.xlsx</x:v>
      </x:c>
      <x:c r="X86" s="32" t="str">
        <x:v>Yüklü Debi_ve_Kurulu_Guc-13092026.xlsx</x:v>
      </x:c>
      <x:c r="Y86" s="32" t="str">
        <x:v>https://cbs1.tarimorman.gov.tr/server/rest/services/TATUS/FeatureServer/7</x:v>
      </x:c>
      <x:c r="Z86" s="32" t="str">
        <x:v>SUAT UĞURLU HES</x:v>
      </x:c>
      <x:c r="AA86" s="101" t="str">
        <x:v>Baraj adı eşleşmesi: H.UĞURLU</x:v>
      </x:c>
      <x:c r="AB86" s="133" t="str">
        <x:v>Doğrulanmış koordinat mevcut</x:v>
      </x:c>
      <x:c r="AC86" s="133" t="str">
        <x:v>HES / baraj noktası</x:v>
      </x:c>
      <x:c r="AD86" s="133" t="n">
        <x:v>787</x:v>
      </x:c>
      <x:c r="AE86" s="133" t="str">
        <x:v>HASAN UĞURLU HES</x:v>
      </x:c>
      <x:c r="AF86" s="133" t="str">
        <x:v>Samsun</x:v>
      </x:c>
      <x:c r="AG86" s="134" t="n">
        <x:v>40.939</x:v>
      </x:c>
      <x:c r="AH86" s="134" t="n">
        <x:v>36.647</x:v>
      </x:c>
      <x:c r="AI86" s="133" t="str">
        <x:v>Tam ad eşleşmesi</x:v>
      </x:c>
      <x:c r="AJ86" s="133" t="str">
        <x:v>Yüksek</x:v>
      </x:c>
      <x:c r="AK86" s="135" t="n">
        <x:v>0.274</x:v>
      </x:c>
      <x:c r="AL86" s="133" t="str">
        <x:v>Point</x:v>
      </x:c>
      <x:c r="AM86" s="133" t="str">
        <x:v>{"type": "Point", "coordinates": [36.64676, 40.93654]}</x:v>
      </x:c>
      <x:c r="AN86" s="133" t="str">
        <x:v>TATUS Baraj Gözlem Point</x:v>
      </x:c>
      <x:c r="AO86" s="133" t="str">
        <x:v>H.UĞURLU</x:v>
      </x:c>
      <x:c r="AP86" s="133" t="n">
        <x:v>1</x:v>
      </x:c>
      <x:c r="AQ86" s="134" t="n">
        <x:v>40.93654</x:v>
      </x:c>
      <x:c r="AR86" s="134" t="n">
        <x:v>36.64676</x:v>
      </x:c>
      <x:c r="AS86" s="133" t="str">
        <x:v>{"type": "Point", "coordinates": [36.64676, 40.93654]}</x:v>
      </x:c>
      <x:c r="AT86" s="133" t="str">
        <x:v>https://cbs1.tarimorman.gov.tr/server/rest/services/TATUS/FeatureServer/7/query?where=HAVZA_ID%3D14+AND+%28BarajAdi%3D%27H.U%C4%9EURLU%27+OR+BarajAdi%3D%27HASAN+U%C4%9EURLU%27%29&amp;outFields=OBJECTID%2CBarajAdi%2CHavzaAdi%2CHAVZA_ID%2CIl&amp;returnGeometry=true&amp;outSR=4326&amp;f=geojson</x:v>
      </x:c>
      <x:c r="AU86" s="133" t="str">
        <x:v>Yeşilırmak</x:v>
      </x:c>
      <x:c r="AV86" s="133" t="str">
        <x:v>Polyline / LineString</x:v>
      </x:c>
      <x:c r="AW86" s="133" t="str">
        <x:v>https://cbs1.tarimorman.gov.tr/server/rest/services/TATUS/FeatureServer/8/query?where=HAVZA_ID%3D14&amp;geometry=36.646760%2C40.936540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6" s="133" t="str">
        <x:v>Havza ana akarsuyu ön-eşleme; TATUS spatial query ile doğrulanmalı</x:v>
      </x:c>
      <x:c r="AY86" s="133" t="str">
        <x:v>Polygon</x:v>
      </x:c>
      <x:c r="AZ86" s="133" t="str">
        <x:v>https://cbs1.tarimorman.gov.tr/server/rest/services/TATUS/FeatureServer/9/query?where=1%3D1&amp;geometry=36.646760%2C40.936540&amp;geometryType=esriGeometryPoint&amp;inSR=4326&amp;spatialRel=esriSpatialRelIntersects&amp;outFields=%2A&amp;returnGeometry=true&amp;outSR=4326&amp;resultRecordCount=5&amp;f=geojson</x:v>
      </x:c>
      <x:c r="BA86" s="133" t="str">
        <x:v>Santral popup: Su alanını göster</x:v>
      </x:c>
      <x:c r="BB86" s="133" t="str">
        <x:v>Yüksek</x:v>
      </x:c>
      <x:c r="BC86" s="133"/>
    </x:row>
    <x:row r="87" ht="30" customHeight="1">
      <x:c r="A87" s="100" t="n">
        <x:v>84</x:v>
      </x:c>
      <x:c r="B87" s="32" t="str">
        <x:v>HİRFANLI HES</x:v>
      </x:c>
      <x:c r="C87" s="32" t="str">
        <x:v>Kızılırmak</x:v>
      </x:c>
      <x:c r="D87" s="32" t="str">
        <x:v>Kızılırmak</x:v>
      </x:c>
      <x:c r="E87" s="34" t="n">
        <x:v>15</x:v>
      </x:c>
      <x:c r="F87" s="32" t="str">
        <x:v>https://cbs1.tarimorman.gov.tr/server/rest/services/TATUS/FeatureServer/11/query?where=ID%3D15&amp;outFields=ID%2CHAVZA_ADI%2CALAN_KM2&amp;returnGeometry=true&amp;outSR=4326&amp;f=geojson</x:v>
      </x:c>
      <x:c r="G87" s="32" t="str">
        <x:v>HİRFANLI</x:v>
      </x:c>
      <x:c r="H87" s="32" t="str">
        <x:v>ANKARA</x:v>
      </x:c>
      <x:c r="I87" s="36" t="n">
        <x:v>39.2728</x:v>
      </x:c>
      <x:c r="J87" s="36" t="n">
        <x:v>33.51871</x:v>
      </x:c>
      <x:c r="K87" s="38" t="n">
        <x:v>851</x:v>
      </x:c>
      <x:c r="L87" s="38" t="n">
        <x:v>842</x:v>
      </x:c>
      <x:c r="M87" s="32" t="str">
        <x:v>KESİKKÖPRÜ</x:v>
      </x:c>
      <x:c r="N87" s="38" t="n">
        <x:v>128</x:v>
      </x:c>
      <x:c r="O87" s="38" t="n">
        <x:v>240</x:v>
      </x:c>
      <x:c r="P87" s="38" t="n">
        <x:v>5653.28</x:v>
      </x:c>
      <x:c r="Q87" s="38" t="n">
        <x:v>3683.77</x:v>
      </x:c>
      <x:c r="R87" s="38" t="n">
        <x:v>954.24</x:v>
      </x:c>
      <x:c r="S87" s="38" t="n">
        <x:v>145.66</x:v>
      </x:c>
      <x:c r="T87" s="40" t="n">
        <x:v>46278.81434027778</x:v>
      </x:c>
      <x:c r="U87" s="32" t="str">
        <x:v>exact</x:v>
      </x:c>
      <x:c r="V87" s="32" t="str">
        <x:v>A</x:v>
      </x:c>
      <x:c r="W87" s="32" t="str">
        <x:v>Yüklü Debi_ve_Kurulu_Guc-13092026.xlsx</x:v>
      </x:c>
      <x:c r="X87" s="32" t="str">
        <x:v>Yüklü Debi_ve_Kurulu_Guc-13092026.xlsx</x:v>
      </x:c>
      <x:c r="Y87" s="32" t="str">
        <x:v>https://cbs1.tarimorman.gov.tr/server/rest/services/TATUS/FeatureServer/7</x:v>
      </x:c>
      <x:c r="Z87" s="32" t="str">
        <x:v>KESİKKÖPRÜ</x:v>
      </x:c>
      <x:c r="AA87" s="101"/>
      <x:c r="AB87" s="133" t="str">
        <x:v>Doğrulanmış koordinat mevcut</x:v>
      </x:c>
      <x:c r="AC87" s="133" t="str">
        <x:v>HES / baraj noktası</x:v>
      </x:c>
      <x:c r="AD87" s="133" t="n">
        <x:v>915</x:v>
      </x:c>
      <x:c r="AE87" s="133" t="str">
        <x:v>HİRFANLI HES</x:v>
      </x:c>
      <x:c r="AF87" s="133" t="str">
        <x:v>Kırşehir</x:v>
      </x:c>
      <x:c r="AG87" s="134" t="n">
        <x:v>39.273</x:v>
      </x:c>
      <x:c r="AH87" s="134" t="n">
        <x:v>33.521</x:v>
      </x:c>
      <x:c r="AI87" s="133" t="str">
        <x:v>Tam ad eşleşmesi</x:v>
      </x:c>
      <x:c r="AJ87" s="133" t="str">
        <x:v>Yüksek</x:v>
      </x:c>
      <x:c r="AK87" s="135" t="n">
        <x:v>0.198</x:v>
      </x:c>
      <x:c r="AL87" s="133" t="str">
        <x:v>Point</x:v>
      </x:c>
      <x:c r="AM87" s="133" t="str">
        <x:v>{"type": "Point", "coordinates": [33.51871, 39.2728]}</x:v>
      </x:c>
      <x:c r="AN87" s="133" t="str">
        <x:v>TATUS Baraj Gözlem Point</x:v>
      </x:c>
      <x:c r="AO87" s="133" t="str">
        <x:v>HİRFANLI</x:v>
      </x:c>
      <x:c r="AP87" s="133" t="n">
        <x:v>1</x:v>
      </x:c>
      <x:c r="AQ87" s="134" t="n">
        <x:v>39.2728</x:v>
      </x:c>
      <x:c r="AR87" s="134" t="n">
        <x:v>33.51871</x:v>
      </x:c>
      <x:c r="AS87" s="133" t="str">
        <x:v>{"type": "Point", "coordinates": [33.51871, 39.2728]}</x:v>
      </x:c>
      <x:c r="AT87" s="133" t="str">
        <x:v>https://cbs1.tarimorman.gov.tr/server/rest/services/TATUS/FeatureServer/7/query?where=HAVZA_ID%3D15+AND+%28BarajAdi%3D%27H%C4%B0RFANLI%27%29&amp;outFields=OBJECTID%2CBarajAdi%2CHavzaAdi%2CHAVZA_ID%2CIl&amp;returnGeometry=true&amp;outSR=4326&amp;f=geojson</x:v>
      </x:c>
      <x:c r="AU87" s="133" t="str">
        <x:v>Kızılırmak</x:v>
      </x:c>
      <x:c r="AV87" s="133" t="str">
        <x:v>Polyline / LineString</x:v>
      </x:c>
      <x:c r="AW87" s="133" t="str">
        <x:v>https://cbs1.tarimorman.gov.tr/server/rest/services/TATUS/FeatureServer/8/query?where=HAVZA_ID%3D15&amp;geometry=33.518710%2C39.272800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7" s="133" t="str">
        <x:v>Havza ana akarsuyu ön-eşleme; TATUS spatial query ile doğrulanmalı</x:v>
      </x:c>
      <x:c r="AY87" s="133" t="str">
        <x:v>Polygon</x:v>
      </x:c>
      <x:c r="AZ87" s="133" t="str">
        <x:v>https://cbs1.tarimorman.gov.tr/server/rest/services/TATUS/FeatureServer/9/query?where=1%3D1&amp;geometry=33.518710%2C39.272800&amp;geometryType=esriGeometryPoint&amp;inSR=4326&amp;spatialRel=esriSpatialRelIntersects&amp;outFields=%2A&amp;returnGeometry=true&amp;outSR=4326&amp;resultRecordCount=5&amp;f=geojson</x:v>
      </x:c>
      <x:c r="BA87" s="133" t="str">
        <x:v>Santral popup: Su alanını göster</x:v>
      </x:c>
      <x:c r="BB87" s="133" t="str">
        <x:v>Yüksek</x:v>
      </x:c>
      <x:c r="BC87" s="133"/>
    </x:row>
    <x:row r="88" ht="30" customHeight="1">
      <x:c r="A88" s="100" t="n">
        <x:v>85</x:v>
      </x:c>
      <x:c r="B88" s="32" t="str">
        <x:v>HOŞAP HES</x:v>
      </x:c>
      <x:c r="C88" s="32" t="str">
        <x:v>Van Gölü</x:v>
      </x:c>
      <x:c r="D88" s="32" t="str">
        <x:v>Van Gölü</x:v>
      </x:c>
      <x:c r="E88" s="34" t="n">
        <x:v>25</x:v>
      </x:c>
      <x:c r="F88" s="32" t="str">
        <x:v>https://cbs1.tarimorman.gov.tr/server/rest/services/TATUS/FeatureServer/11/query?where=ID%3D25&amp;outFields=ID%2CHAVZA_ADI%2CALAN_KM2&amp;returnGeometry=true&amp;outSR=4326&amp;f=geojson</x:v>
      </x:c>
      <x:c r="G88" s="32" t="str">
        <x:v>ZERNEK</x:v>
      </x:c>
      <x:c r="H88" s="32" t="str">
        <x:v>VAN</x:v>
      </x:c>
      <x:c r="I88" s="36" t="n">
        <x:v>38.35548</x:v>
      </x:c>
      <x:c r="J88" s="36" t="n">
        <x:v>43.65705</x:v>
      </x:c>
      <x:c r="K88" s="38" t="n">
        <x:v>1935</x:v>
      </x:c>
      <x:c r="L88" s="38" t="n">
        <x:v>1910.5</x:v>
      </x:c>
      <x:c r="M88" s="32"/>
      <x:c r="N88" s="38" t="n">
        <x:v>4.5</x:v>
      </x:c>
      <x:c r="O88" s="38" t="n">
        <x:v>7.7</x:v>
      </x:c>
      <x:c r="P88" s="38" t="n">
        <x:v>105.76</x:v>
      </x:c>
      <x:c r="Q88" s="38" t="n">
        <x:v>20.37</x:v>
      </x:c>
      <x:c r="R88" s="38" t="n">
        <x:v>56.41</x:v>
      </x:c>
      <x:c r="S88" s="38" t="n">
        <x:v>6.61</x:v>
      </x:c>
      <x:c r="T88" s="40" t="n">
        <x:v>46278.81434027778</x:v>
      </x:c>
      <x:c r="U88" s="32" t="str">
        <x:v>alias</x:v>
      </x:c>
      <x:c r="V88" s="32" t="str">
        <x:v>B</x:v>
      </x:c>
      <x:c r="W88" s="32" t="str">
        <x:v>Yüklü Debi_ve_Kurulu_Guc-13092026.xlsx</x:v>
      </x:c>
      <x:c r="X88" s="32" t="str">
        <x:v>Yüklü Debi_ve_Kurulu_Guc-13092026.xlsx</x:v>
      </x:c>
      <x:c r="Y88" s="32" t="str">
        <x:v>TATUS Baraj Gözlem İstasyonları (FeatureServer/7) fallback</x:v>
      </x:c>
      <x:c r="Z88" s="32" t="str">
        <x:v>10</x:v>
      </x:c>
      <x:c r="AA88" s="101" t="str">
        <x:v>Baraj adı eşleşmesi: ZERNEK; Kaskat alanında kaynak değeri '10' (belirsiz/sentinel); Koordinat güvenilir açık kaynaktan doğrulanamadı; TATUS baraj noktası fallback: ZERNEK (reservoir_exact); 1 nokta</x:v>
      </x:c>
      <x:c r="AB88" s="133" t="str">
        <x:v>TATUS baraj gözlem istasyonu ile tamamlandı</x:v>
      </x:c>
      <x:c r="AC88" s="133" t="str">
        <x:v>Baraj gözlem istasyonu (TATUS fallback)</x:v>
      </x:c>
      <x:c r="AD88" s="133"/>
      <x:c r="AE88" s="133"/>
      <x:c r="AF88" s="133"/>
      <x:c r="AG88" s="134"/>
      <x:c r="AH88" s="134"/>
      <x:c r="AI88" s="133"/>
      <x:c r="AJ88" s="133"/>
      <x:c r="AK88" s="135"/>
      <x:c r="AL88" s="133" t="str">
        <x:v>Point</x:v>
      </x:c>
      <x:c r="AM88" s="133" t="str">
        <x:v>{"type": "Point", "coordinates": [43.65705, 38.35548]}</x:v>
      </x:c>
      <x:c r="AN88" s="133" t="str">
        <x:v>TATUS Baraj Gözlem Point</x:v>
      </x:c>
      <x:c r="AO88" s="133" t="str">
        <x:v>ZERNEK</x:v>
      </x:c>
      <x:c r="AP88" s="133" t="n">
        <x:v>1</x:v>
      </x:c>
      <x:c r="AQ88" s="134" t="n">
        <x:v>38.35548</x:v>
      </x:c>
      <x:c r="AR88" s="134" t="n">
        <x:v>43.65705</x:v>
      </x:c>
      <x:c r="AS88" s="133" t="str">
        <x:v>{"type": "Point", "coordinates": [43.65705, 38.35548]}</x:v>
      </x:c>
      <x:c r="AT88" s="133" t="str">
        <x:v>https://cbs1.tarimorman.gov.tr/server/rest/services/TATUS/FeatureServer/7/query?where=HAVZA_ID%3D25+AND+%28BarajAdi%3D%27ZERNEK%27+OR+BarajAdi%3D%27HO%C5%9EAP%27%29&amp;outFields=OBJECTID%2CBarajAdi%2CHavzaAdi%2CHAVZA_ID%2CIl&amp;returnGeometry=true&amp;outSR=4326&amp;f=geojson</x:v>
      </x:c>
      <x:c r="AU88" s="133"/>
      <x:c r="AV88" s="133" t="str">
        <x:v>Polyline / LineString</x:v>
      </x:c>
      <x:c r="AW88" s="133" t="str">
        <x:v>https://cbs1.tarimorman.gov.tr/server/rest/services/TATUS/FeatureServer/8/query?where=HAVZA_ID%3D25&amp;geometry=43.657050%2C38.355480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8" s="133" t="str">
        <x:v>TATUS spatial query hazır; en yakın/uygun LineString seçilmeli</x:v>
      </x:c>
      <x:c r="AY88" s="133" t="str">
        <x:v>Polygon</x:v>
      </x:c>
      <x:c r="AZ88" s="133" t="str">
        <x:v>https://cbs1.tarimorman.gov.tr/server/rest/services/TATUS/FeatureServer/9/query?where=1%3D1&amp;geometry=43.657050%2C38.355480&amp;geometryType=esriGeometryPoint&amp;inSR=4326&amp;spatialRel=esriSpatialRelIntersects&amp;outFields=%2A&amp;returnGeometry=true&amp;outSR=4326&amp;resultRecordCount=5&amp;f=geojson</x:v>
      </x:c>
      <x:c r="BA88" s="133" t="str">
        <x:v>Santral popup: Su alanını göster</x:v>
      </x:c>
      <x:c r="BB88" s="133" t="str">
        <x:v>Yüksek-Orta</x:v>
      </x:c>
      <x:c r="BC88" s="133"/>
    </x:row>
    <x:row r="89" ht="30" customHeight="1">
      <x:c r="A89" s="100" t="n">
        <x:v>86</x:v>
      </x:c>
      <x:c r="B89" s="32" t="str">
        <x:v>ILISU HES</x:v>
      </x:c>
      <x:c r="C89" s="32" t="str">
        <x:v>Fırat Dicle</x:v>
      </x:c>
      <x:c r="D89" s="32" t="str">
        <x:v>Fırat-Dicle</x:v>
      </x:c>
      <x:c r="E89" s="34" t="n">
        <x:v>21</x:v>
      </x:c>
      <x:c r="F89" s="32" t="str">
        <x:v>https://cbs1.tarimorman.gov.tr/server/rest/services/TATUS/FeatureServer/11/query?where=ID%3D21&amp;outFields=ID%2CHAVZA_ADI%2CALAN_KM2&amp;returnGeometry=true&amp;outSR=4326&amp;f=geojson</x:v>
      </x:c>
      <x:c r="G89" s="32" t="str">
        <x:v>ILISU</x:v>
      </x:c>
      <x:c r="H89" s="32" t="str">
        <x:v>MARDİN/ŞIRNAK</x:v>
      </x:c>
      <x:c r="I89" s="36" t="n">
        <x:v>37.531</x:v>
      </x:c>
      <x:c r="J89" s="36" t="n">
        <x:v>41.826</x:v>
      </x:c>
      <x:c r="K89" s="38" t="n">
        <x:v>527.86</x:v>
      </x:c>
      <x:c r="L89" s="38" t="n">
        <x:v>485</x:v>
      </x:c>
      <x:c r="M89" s="32"/>
      <x:c r="N89" s="38" t="n">
        <x:v>1209</x:v>
      </x:c>
      <x:c r="O89" s="38"/>
      <x:c r="P89" s="38"/>
      <x:c r="Q89" s="38"/>
      <x:c r="R89" s="38"/>
      <x:c r="S89" s="38"/>
      <x:c r="T89" s="40"/>
      <x:c r="U89" s="32" t="str">
        <x:v>eşleşme yok</x:v>
      </x:c>
      <x:c r="V89" s="32" t="str">
        <x:v>C</x:v>
      </x:c>
      <x:c r="W89" s="32" t="str">
        <x:v>https://openinframap.org/stats/area/Turkey/plants?source=hydro</x:v>
      </x:c>
      <x:c r="X89" s="32" t="str">
        <x:v>https://openinframap.org/stats/area/Turkey/plants?source=hydro</x:v>
      </x:c>
      <x:c r="Y89" s="32" t="str">
        <x:v>hes_MERKEZI_LISTESI.xlsx — trafo merkezi koordinatı (yaklaşık)</x:v>
      </x:c>
      <x:c r="Z89" s="32" t="str">
        <x:v>10</x:v>
      </x:c>
      <x:c r="AA89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89" s="133" t="str">
        <x:v>Trafo merkezi koordinatı ile tamamlandı</x:v>
      </x:c>
      <x:c r="AC89" s="133" t="str">
        <x:v>Trafo merkezi / elektrik bağlantı noktası (yaklaşık)</x:v>
      </x:c>
      <x:c r="AD89" s="133" t="n">
        <x:v>1533</x:v>
      </x:c>
      <x:c r="AE89" s="133" t="str">
        <x:v>ILISU HES</x:v>
      </x:c>
      <x:c r="AF89" s="133" t="str">
        <x:v>Mardin</x:v>
      </x:c>
      <x:c r="AG89" s="134" t="n">
        <x:v>37.531</x:v>
      </x:c>
      <x:c r="AH89" s="134" t="n">
        <x:v>41.826</x:v>
      </x:c>
      <x:c r="AI89" s="133" t="str">
        <x:v>Tam ad eşleşmesi</x:v>
      </x:c>
      <x:c r="AJ89" s="133" t="str">
        <x:v>Yüksek</x:v>
      </x:c>
      <x:c r="AK89" s="135"/>
      <x:c r="AL89" s="133" t="str">
        <x:v>Point</x:v>
      </x:c>
      <x:c r="AM89" s="133" t="str">
        <x:v>{"type": "Point", "coordinates": [41.826, 37.531]}</x:v>
      </x:c>
      <x:c r="AN89" s="133" t="str">
        <x:v>Trafo merkezi / elektrik bağlantı noktası (yaklaşık)</x:v>
      </x:c>
      <x:c r="AO89" s="133"/>
      <x:c r="AP89" s="133"/>
      <x:c r="AQ89" s="134"/>
      <x:c r="AR89" s="134"/>
      <x:c r="AS89" s="133"/>
      <x:c r="AT89" s="133" t="str">
        <x:v>https://cbs1.tarimorman.gov.tr/server/rest/services/TATUS/FeatureServer/7/query?where=HAVZA_ID%3D21+AND+%28BarajAdi%3D%27ILISU%27%29&amp;outFields=OBJECTID%2CBarajAdi%2CHavzaAdi%2CHAVZA_ID%2CIl&amp;returnGeometry=true&amp;outSR=4326&amp;f=geojson</x:v>
      </x:c>
      <x:c r="AU89" s="133"/>
      <x:c r="AV89" s="133" t="str">
        <x:v>Polyline / LineString</x:v>
      </x:c>
      <x:c r="AW89" s="133" t="str">
        <x:v>https://cbs1.tarimorman.gov.tr/server/rest/services/TATUS/FeatureServer/8/query?where=HAVZA_ID%3D21&amp;geometry=41.826000%2C37.531000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89" s="133" t="str">
        <x:v>TATUS spatial query hazır; en yakın/uygun LineString seçilmeli</x:v>
      </x:c>
      <x:c r="AY89" s="133" t="str">
        <x:v>Polygon</x:v>
      </x:c>
      <x:c r="AZ89" s="133" t="str">
        <x:v>https://cbs1.tarimorman.gov.tr/server/rest/services/TATUS/FeatureServer/9/query?where=1%3D1&amp;geometry=41.826000%2C37.531000&amp;geometryType=esriGeometryPoint&amp;inSR=4326&amp;spatialRel=esriSpatialRelIntersects&amp;outFields=%2A&amp;returnGeometry=true&amp;outSR=4326&amp;resultRecordCount=5&amp;f=geojson</x:v>
      </x:c>
      <x:c r="BA89" s="133" t="str">
        <x:v>Santral popup: Su alanını göster</x:v>
      </x:c>
      <x:c r="BB89" s="133" t="str">
        <x:v>Orta-Düşük</x:v>
      </x:c>
      <x:c r="BC89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90" ht="30" customHeight="1">
      <x:c r="A90" s="100" t="n">
        <x:v>87</x:v>
      </x:c>
      <x:c r="B90" s="32" t="str">
        <x:v>KADINCIK1 HES</x:v>
      </x:c>
      <x:c r="C90" s="32" t="str">
        <x:v>Doğu Akdeniz</x:v>
      </x:c>
      <x:c r="D90" s="32" t="str">
        <x:v>Doğu Akdeniz</x:v>
      </x:c>
      <x:c r="E90" s="34" t="n">
        <x:v>17</x:v>
      </x:c>
      <x:c r="F90" s="32" t="str">
        <x:v>https://cbs1.tarimorman.gov.tr/server/rest/services/TATUS/FeatureServer/11/query?where=ID%3D17&amp;outFields=ID%2CHAVZA_ADI%2CALAN_KM2&amp;returnGeometry=true&amp;outSR=4326&amp;f=geojson</x:v>
      </x:c>
      <x:c r="G90" s="32" t="str">
        <x:v>KADINCIK1</x:v>
      </x:c>
      <x:c r="H90" s="32" t="str">
        <x:v>MERSİN</x:v>
      </x:c>
      <x:c r="I90" s="36" t="n">
        <x:v>37.088</x:v>
      </x:c>
      <x:c r="J90" s="36" t="n">
        <x:v>34.789</x:v>
      </x:c>
      <x:c r="K90" s="38" t="n">
        <x:v>406.48</x:v>
      </x:c>
      <x:c r="L90" s="38" t="n">
        <x:v>400</x:v>
      </x:c>
      <x:c r="M90" s="32"/>
      <x:c r="N90" s="38" t="n">
        <x:v>70</x:v>
      </x:c>
      <x:c r="O90" s="38"/>
      <x:c r="P90" s="38"/>
      <x:c r="Q90" s="38"/>
      <x:c r="R90" s="38"/>
      <x:c r="S90" s="38"/>
      <x:c r="T90" s="40"/>
      <x:c r="U90" s="32" t="str">
        <x:v>eşleşme yok</x:v>
      </x:c>
      <x:c r="V90" s="32" t="str">
        <x:v>C</x:v>
      </x:c>
      <x:c r="W90" s="32" t="str">
        <x:v>https://www.enerjiatlasi.com/hidroelektrik/?v=1.0.24</x:v>
      </x:c>
      <x:c r="X90" s="32" t="str">
        <x:v>https://openinframap.org/stats/area/Turkey/plants?source=hydro</x:v>
      </x:c>
      <x:c r="Y90" s="32" t="str">
        <x:v>hes_MERKEZI_LISTESI.xlsx — trafo merkezi koordinatı (yaklaşık)</x:v>
      </x:c>
      <x:c r="Z90" s="32" t="str">
        <x:v>10</x:v>
      </x:c>
      <x:c r="AA90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90" s="133" t="str">
        <x:v>Trafo merkezi koordinatı ile tamamlandı</x:v>
      </x:c>
      <x:c r="AC90" s="133" t="str">
        <x:v>Trafo merkezi / elektrik bağlantı noktası (yaklaşık)</x:v>
      </x:c>
      <x:c r="AD90" s="133" t="n">
        <x:v>573</x:v>
      </x:c>
      <x:c r="AE90" s="133" t="str">
        <x:v>KADINCIK1 HES</x:v>
      </x:c>
      <x:c r="AF90" s="133" t="str">
        <x:v>Mersin</x:v>
      </x:c>
      <x:c r="AG90" s="134" t="n">
        <x:v>37.088</x:v>
      </x:c>
      <x:c r="AH90" s="134" t="n">
        <x:v>34.789</x:v>
      </x:c>
      <x:c r="AI90" s="133" t="str">
        <x:v>Tam ad eşleşmesi</x:v>
      </x:c>
      <x:c r="AJ90" s="133" t="str">
        <x:v>Yüksek</x:v>
      </x:c>
      <x:c r="AK90" s="135"/>
      <x:c r="AL90" s="133" t="str">
        <x:v>Point</x:v>
      </x:c>
      <x:c r="AM90" s="133" t="str">
        <x:v>{"type": "Point", "coordinates": [34.789, 37.088]}</x:v>
      </x:c>
      <x:c r="AN90" s="133" t="str">
        <x:v>Trafo merkezi / elektrik bağlantı noktası (yaklaşık)</x:v>
      </x:c>
      <x:c r="AO90" s="133"/>
      <x:c r="AP90" s="133"/>
      <x:c r="AQ90" s="134"/>
      <x:c r="AR90" s="134"/>
      <x:c r="AS90" s="133"/>
      <x:c r="AT90" s="133" t="str">
        <x:v>https://cbs1.tarimorman.gov.tr/server/rest/services/TATUS/FeatureServer/7/query?where=HAVZA_ID%3D17+AND+%28BarajAdi%3D%27KADINCIK1%27%29&amp;outFields=OBJECTID%2CBarajAdi%2CHavzaAdi%2CHAVZA_ID%2CIl&amp;returnGeometry=true&amp;outSR=4326&amp;f=geojson</x:v>
      </x:c>
      <x:c r="AU90" s="133"/>
      <x:c r="AV90" s="133" t="str">
        <x:v>Polyline / LineString</x:v>
      </x:c>
      <x:c r="AW90" s="133" t="str">
        <x:v>https://cbs1.tarimorman.gov.tr/server/rest/services/TATUS/FeatureServer/8/query?where=HAVZA_ID%3D17&amp;geometry=34.789000%2C37.088000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0" s="133" t="str">
        <x:v>TATUS spatial query hazır; en yakın/uygun LineString seçilmeli</x:v>
      </x:c>
      <x:c r="AY90" s="133" t="str">
        <x:v>Polygon</x:v>
      </x:c>
      <x:c r="AZ90" s="133" t="str">
        <x:v>https://cbs1.tarimorman.gov.tr/server/rest/services/TATUS/FeatureServer/9/query?where=1%3D1&amp;geometry=34.789000%2C37.088000&amp;geometryType=esriGeometryPoint&amp;inSR=4326&amp;spatialRel=esriSpatialRelIntersects&amp;outFields=%2A&amp;returnGeometry=true&amp;outSR=4326&amp;resultRecordCount=5&amp;f=geojson</x:v>
      </x:c>
      <x:c r="BA90" s="133" t="str">
        <x:v>Santral popup: Su alanını göster</x:v>
      </x:c>
      <x:c r="BB90" s="133" t="str">
        <x:v>Orta-Düşük</x:v>
      </x:c>
      <x:c r="BC90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1" ht="30" customHeight="1">
      <x:c r="A91" s="100" t="n">
        <x:v>88</x:v>
      </x:c>
      <x:c r="B91" s="32" t="str">
        <x:v>KADINCIK2 HES</x:v>
      </x:c>
      <x:c r="C91" s="32" t="str">
        <x:v>Doğu Akdeniz</x:v>
      </x:c>
      <x:c r="D91" s="32" t="str">
        <x:v>Doğu Akdeniz</x:v>
      </x:c>
      <x:c r="E91" s="34" t="n">
        <x:v>17</x:v>
      </x:c>
      <x:c r="F91" s="32" t="str">
        <x:v>https://cbs1.tarimorman.gov.tr/server/rest/services/TATUS/FeatureServer/11/query?where=ID%3D17&amp;outFields=ID%2CHAVZA_ADI%2CALAN_KM2&amp;returnGeometry=true&amp;outSR=4326&amp;f=geojson</x:v>
      </x:c>
      <x:c r="G91" s="32" t="str">
        <x:v>KADINCIK2</x:v>
      </x:c>
      <x:c r="H91" s="32" t="str">
        <x:v>MERSİN</x:v>
      </x:c>
      <x:c r="I91" s="36" t="n">
        <x:v>37.032</x:v>
      </x:c>
      <x:c r="J91" s="36" t="n">
        <x:v>34.841</x:v>
      </x:c>
      <x:c r="K91" s="38" t="n">
        <x:v>214.72</x:v>
      </x:c>
      <x:c r="L91" s="38" t="n">
        <x:v>212.7</x:v>
      </x:c>
      <x:c r="M91" s="32"/>
      <x:c r="N91" s="38" t="n">
        <x:v>56</x:v>
      </x:c>
      <x:c r="O91" s="38"/>
      <x:c r="P91" s="38"/>
      <x:c r="Q91" s="38"/>
      <x:c r="R91" s="38"/>
      <x:c r="S91" s="38"/>
      <x:c r="T91" s="40"/>
      <x:c r="U91" s="32" t="str">
        <x:v>eşleşme yok</x:v>
      </x:c>
      <x:c r="V91" s="32" t="str">
        <x:v>C</x:v>
      </x:c>
      <x:c r="W91" s="32" t="str">
        <x:v>https://www.enerjiatlasi.com/hidroelektrik/?v=1.0.24</x:v>
      </x:c>
      <x:c r="X91" s="32" t="str">
        <x:v>https://openinframap.org/stats/area/Turkey/plants?source=hydro</x:v>
      </x:c>
      <x:c r="Y91" s="32" t="str">
        <x:v>hes_MERKEZI_LISTESI.xlsx — trafo merkezi koordinatı (yaklaşık)</x:v>
      </x:c>
      <x:c r="Z91" s="32" t="str">
        <x:v>10</x:v>
      </x:c>
      <x:c r="AA91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91" s="133" t="str">
        <x:v>Trafo merkezi koordinatı ile tamamlandı</x:v>
      </x:c>
      <x:c r="AC91" s="133" t="str">
        <x:v>Trafo merkezi / elektrik bağlantı noktası (yaklaşık)</x:v>
      </x:c>
      <x:c r="AD91" s="133" t="n">
        <x:v>582</x:v>
      </x:c>
      <x:c r="AE91" s="133" t="str">
        <x:v>KADINCIK2 HES</x:v>
      </x:c>
      <x:c r="AF91" s="133" t="str">
        <x:v>Mersin</x:v>
      </x:c>
      <x:c r="AG91" s="134" t="n">
        <x:v>37.032</x:v>
      </x:c>
      <x:c r="AH91" s="134" t="n">
        <x:v>34.841</x:v>
      </x:c>
      <x:c r="AI91" s="133" t="str">
        <x:v>Tam ad eşleşmesi</x:v>
      </x:c>
      <x:c r="AJ91" s="133" t="str">
        <x:v>Yüksek</x:v>
      </x:c>
      <x:c r="AK91" s="135"/>
      <x:c r="AL91" s="133" t="str">
        <x:v>Point</x:v>
      </x:c>
      <x:c r="AM91" s="133" t="str">
        <x:v>{"type": "Point", "coordinates": [34.841, 37.032]}</x:v>
      </x:c>
      <x:c r="AN91" s="133" t="str">
        <x:v>Trafo merkezi / elektrik bağlantı noktası (yaklaşık)</x:v>
      </x:c>
      <x:c r="AO91" s="133"/>
      <x:c r="AP91" s="133"/>
      <x:c r="AQ91" s="134"/>
      <x:c r="AR91" s="134"/>
      <x:c r="AS91" s="133"/>
      <x:c r="AT91" s="133" t="str">
        <x:v>https://cbs1.tarimorman.gov.tr/server/rest/services/TATUS/FeatureServer/7/query?where=HAVZA_ID%3D17+AND+%28BarajAdi%3D%27KADINCIK2%27%29&amp;outFields=OBJECTID%2CBarajAdi%2CHavzaAdi%2CHAVZA_ID%2CIl&amp;returnGeometry=true&amp;outSR=4326&amp;f=geojson</x:v>
      </x:c>
      <x:c r="AU91" s="133"/>
      <x:c r="AV91" s="133" t="str">
        <x:v>Polyline / LineString</x:v>
      </x:c>
      <x:c r="AW91" s="133" t="str">
        <x:v>https://cbs1.tarimorman.gov.tr/server/rest/services/TATUS/FeatureServer/8/query?where=HAVZA_ID%3D17&amp;geometry=34.841000%2C37.032000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1" s="133" t="str">
        <x:v>TATUS spatial query hazır; en yakın/uygun LineString seçilmeli</x:v>
      </x:c>
      <x:c r="AY91" s="133" t="str">
        <x:v>Polygon</x:v>
      </x:c>
      <x:c r="AZ91" s="133" t="str">
        <x:v>https://cbs1.tarimorman.gov.tr/server/rest/services/TATUS/FeatureServer/9/query?where=1%3D1&amp;geometry=34.841000%2C37.032000&amp;geometryType=esriGeometryPoint&amp;inSR=4326&amp;spatialRel=esriSpatialRelIntersects&amp;outFields=%2A&amp;returnGeometry=true&amp;outSR=4326&amp;resultRecordCount=5&amp;f=geojson</x:v>
      </x:c>
      <x:c r="BA91" s="133" t="str">
        <x:v>Santral popup: Su alanını göster</x:v>
      </x:c>
      <x:c r="BB91" s="133" t="str">
        <x:v>Orta-Düşük</x:v>
      </x:c>
      <x:c r="BC91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2" ht="30" customHeight="1">
      <x:c r="A92" s="100" t="n">
        <x:v>89</x:v>
      </x:c>
      <x:c r="B92" s="32" t="str">
        <x:v>KANDİL HES</x:v>
      </x:c>
      <x:c r="C92" s="32" t="str">
        <x:v>Ceyhan</x:v>
      </x:c>
      <x:c r="D92" s="32" t="str">
        <x:v>Ceyhan</x:v>
      </x:c>
      <x:c r="E92" s="34" t="n">
        <x:v>20</x:v>
      </x:c>
      <x:c r="F92" s="32" t="str">
        <x:v>https://cbs1.tarimorman.gov.tr/server/rest/services/TATUS/FeatureServer/11/query?where=ID%3D20&amp;outFields=ID%2CHAVZA_ADI%2CALAN_KM2&amp;returnGeometry=true&amp;outSR=4326&amp;f=geojson</x:v>
      </x:c>
      <x:c r="G92" s="32" t="str">
        <x:v>KANDİL HES</x:v>
      </x:c>
      <x:c r="H92" s="32" t="str">
        <x:v>KAHRAMANMARAŞ</x:v>
      </x:c>
      <x:c r="I92" s="36" t="n">
        <x:v>37.975</x:v>
      </x:c>
      <x:c r="J92" s="36" t="n">
        <x:v>37.025</x:v>
      </x:c>
      <x:c r="K92" s="38" t="n">
        <x:v>1098.5</x:v>
      </x:c>
      <x:c r="L92" s="38" t="n">
        <x:v>1064</x:v>
      </x:c>
      <x:c r="M92" s="32" t="str">
        <x:v>SARIGÜZEL HES</x:v>
      </x:c>
      <x:c r="N92" s="38" t="n">
        <x:v>199</x:v>
      </x:c>
      <x:c r="O92" s="38" t="n">
        <x:v>103</x:v>
      </x:c>
      <x:c r="P92" s="38" t="n">
        <x:v>438</x:v>
      </x:c>
      <x:c r="Q92" s="38" t="n">
        <x:v>115</x:v>
      </x:c>
      <x:c r="R92" s="38" t="n">
        <x:v>196.67</x:v>
      </x:c>
      <x:c r="S92" s="38" t="n">
        <x:v>108.84</x:v>
      </x:c>
      <x:c r="T92" s="40" t="n">
        <x:v>46278.81434027778</x:v>
      </x:c>
      <x:c r="U92" s="32" t="str">
        <x:v>exact</x:v>
      </x:c>
      <x:c r="V92" s="32" t="str">
        <x:v>B</x:v>
      </x:c>
      <x:c r="W92" s="32" t="str">
        <x:v>Yüklü Debi_ve_Kurulu_Guc-13092026.xlsx</x:v>
      </x:c>
      <x:c r="X92" s="32" t="str">
        <x:v>Yüklü Debi_ve_Kurulu_Guc-13092026.xlsx</x:v>
      </x:c>
      <x:c r="Y92" s="32" t="str">
        <x:v>hes_MERKEZI_LISTESI.xlsx — trafo merkezi koordinatı (yaklaşık)</x:v>
      </x:c>
      <x:c r="Z92" s="32" t="str">
        <x:v>SARIGÜZEL HES</x:v>
      </x:c>
      <x:c r="AA92" s="101" t="str">
        <x:v>Koordinat güvenilir açık kaynaktan doğrulanamadı; Santral/baraj kesin koordinatı doğrulanamadığı için eşleşen trafo merkezi koordinatı harita referansı olarak kullanıldı; kesin HES konumu değildir.</x:v>
      </x:c>
      <x:c r="AB92" s="133" t="str">
        <x:v>Trafo merkezi koordinatı ile tamamlandı</x:v>
      </x:c>
      <x:c r="AC92" s="133" t="str">
        <x:v>Trafo merkezi / elektrik bağlantı noktası (yaklaşık)</x:v>
      </x:c>
      <x:c r="AD92" s="133" t="n">
        <x:v>1062</x:v>
      </x:c>
      <x:c r="AE92" s="133" t="str">
        <x:v>KANDİL HES</x:v>
      </x:c>
      <x:c r="AF92" s="133" t="str">
        <x:v>Kahramanmaraş</x:v>
      </x:c>
      <x:c r="AG92" s="134" t="n">
        <x:v>37.975</x:v>
      </x:c>
      <x:c r="AH92" s="134" t="n">
        <x:v>37.025</x:v>
      </x:c>
      <x:c r="AI92" s="133" t="str">
        <x:v>Tam ad eşleşmesi</x:v>
      </x:c>
      <x:c r="AJ92" s="133" t="str">
        <x:v>Yüksek</x:v>
      </x:c>
      <x:c r="AK92" s="135"/>
      <x:c r="AL92" s="133" t="str">
        <x:v>Point</x:v>
      </x:c>
      <x:c r="AM92" s="133" t="str">
        <x:v>{"type": "Point", "coordinates": [37.025, 37.975]}</x:v>
      </x:c>
      <x:c r="AN92" s="133" t="str">
        <x:v>Trafo merkezi / elektrik bağlantı noktası (yaklaşık)</x:v>
      </x:c>
      <x:c r="AO92" s="133"/>
      <x:c r="AP92" s="133"/>
      <x:c r="AQ92" s="134"/>
      <x:c r="AR92" s="134"/>
      <x:c r="AS92" s="133"/>
      <x:c r="AT92" s="133" t="str">
        <x:v>https://cbs1.tarimorman.gov.tr/server/rest/services/TATUS/FeatureServer/7/query?where=HAVZA_ID%3D20+AND+%28BarajAdi%3D%27KAND%C4%B0L+HES%27+OR+BarajAdi%3D%27KAND%C4%B0L%27%29&amp;outFields=OBJECTID%2CBarajAdi%2CHavzaAdi%2CHAVZA_ID%2CIl&amp;returnGeometry=true&amp;outSR=4326&amp;f=geojson</x:v>
      </x:c>
      <x:c r="AU92" s="133" t="str">
        <x:v>Ceyhan</x:v>
      </x:c>
      <x:c r="AV92" s="133" t="str">
        <x:v>Polyline / LineString</x:v>
      </x:c>
      <x:c r="AW92" s="133" t="str">
        <x:v>https://cbs1.tarimorman.gov.tr/server/rest/services/TATUS/FeatureServer/8/query?where=HAVZA_ID%3D20&amp;geometry=37.025000%2C37.975000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2" s="133" t="str">
        <x:v>Havza ana akarsuyu ön-eşleme; TATUS spatial query ile doğrulanmalı</x:v>
      </x:c>
      <x:c r="AY92" s="133" t="str">
        <x:v>Polygon</x:v>
      </x:c>
      <x:c r="AZ92" s="133" t="str">
        <x:v>https://cbs1.tarimorman.gov.tr/server/rest/services/TATUS/FeatureServer/9/query?where=1%3D1&amp;geometry=37.025000%2C37.975000&amp;geometryType=esriGeometryPoint&amp;inSR=4326&amp;spatialRel=esriSpatialRelIntersects&amp;outFields=%2A&amp;returnGeometry=true&amp;outSR=4326&amp;resultRecordCount=5&amp;f=geojson</x:v>
      </x:c>
      <x:c r="BA92" s="133" t="str">
        <x:v>Santral popup: Su alanını göster</x:v>
      </x:c>
      <x:c r="BB92" s="133" t="str">
        <x:v>Orta-Düşük</x:v>
      </x:c>
      <x:c r="BC9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3" ht="30" customHeight="1">
      <x:c r="A93" s="100" t="n">
        <x:v>90</x:v>
      </x:c>
      <x:c r="B93" s="32" t="str">
        <x:v>KAPULUKAYA HES</x:v>
      </x:c>
      <x:c r="C93" s="32" t="str">
        <x:v>Kızılırmak</x:v>
      </x:c>
      <x:c r="D93" s="32" t="str">
        <x:v>Kızılırmak</x:v>
      </x:c>
      <x:c r="E93" s="34" t="n">
        <x:v>15</x:v>
      </x:c>
      <x:c r="F93" s="32" t="str">
        <x:v>https://cbs1.tarimorman.gov.tr/server/rest/services/TATUS/FeatureServer/11/query?where=ID%3D15&amp;outFields=ID%2CHAVZA_ADI%2CALAN_KM2&amp;returnGeometry=true&amp;outSR=4326&amp;f=geojson</x:v>
      </x:c>
      <x:c r="G93" s="32" t="str">
        <x:v>KAPULUKAYA</x:v>
      </x:c>
      <x:c r="H93" s="32" t="str">
        <x:v>KIRIKKALE</x:v>
      </x:c>
      <x:c r="I93" s="36" t="n">
        <x:v>39.73053</x:v>
      </x:c>
      <x:c r="J93" s="36" t="n">
        <x:v>33.48299</x:v>
      </x:c>
      <x:c r="K93" s="38" t="n">
        <x:v>724</x:v>
      </x:c>
      <x:c r="L93" s="38" t="n">
        <x:v>715</x:v>
      </x:c>
      <x:c r="M93" s="32"/>
      <x:c r="N93" s="38" t="n">
        <x:v>54</x:v>
      </x:c>
      <x:c r="O93" s="38" t="n">
        <x:v>55</x:v>
      </x:c>
      <x:c r="P93" s="38" t="n">
        <x:v>224.91</x:v>
      </x:c>
      <x:c r="Q93" s="38" t="n">
        <x:v>111.73</x:v>
      </x:c>
      <x:c r="R93" s="38" t="n">
        <x:v>100.36</x:v>
      </x:c>
      <x:c r="S93" s="38" t="n">
        <x:v>10.04</x:v>
      </x:c>
      <x:c r="T93" s="40" t="n">
        <x:v>46278.81434027778</x:v>
      </x:c>
      <x:c r="U93" s="32" t="str">
        <x:v>exact</x:v>
      </x:c>
      <x:c r="V93" s="32" t="str">
        <x:v>A</x:v>
      </x:c>
      <x:c r="W93" s="32" t="str">
        <x:v>Yüklü Debi_ve_Kurulu_Guc-13092026.xlsx</x:v>
      </x:c>
      <x:c r="X93" s="32" t="str">
        <x:v>Yüklü Debi_ve_Kurulu_Guc-13092026.xlsx</x:v>
      </x:c>
      <x:c r="Y93" s="32" t="str">
        <x:v>https://cbs1.tarimorman.gov.tr/server/rest/services/TATUS/FeatureServer/7</x:v>
      </x:c>
      <x:c r="Z93" s="32" t="str">
        <x:v>10</x:v>
      </x:c>
      <x:c r="AA93" s="101" t="str">
        <x:v>Kaskat alanında kaynak değeri '10' (belirsiz/sentinel)</x:v>
      </x:c>
      <x:c r="AB93" s="133" t="str">
        <x:v>Doğrulanmış koordinat mevcut</x:v>
      </x:c>
      <x:c r="AC93" s="133" t="str">
        <x:v>HES / baraj noktası</x:v>
      </x:c>
      <x:c r="AD93" s="133" t="n">
        <x:v>903</x:v>
      </x:c>
      <x:c r="AE93" s="133" t="str">
        <x:v>KAPULUKAYA HES</x:v>
      </x:c>
      <x:c r="AF93" s="133" t="str">
        <x:v>Kırıkkale</x:v>
      </x:c>
      <x:c r="AG93" s="134" t="n">
        <x:v>39.732</x:v>
      </x:c>
      <x:c r="AH93" s="134" t="n">
        <x:v>33.482</x:v>
      </x:c>
      <x:c r="AI93" s="133" t="str">
        <x:v>Tam ad eşleşmesi</x:v>
      </x:c>
      <x:c r="AJ93" s="133" t="str">
        <x:v>Yüksek</x:v>
      </x:c>
      <x:c r="AK93" s="135" t="n">
        <x:v>0.184</x:v>
      </x:c>
      <x:c r="AL93" s="133" t="str">
        <x:v>Point</x:v>
      </x:c>
      <x:c r="AM93" s="133" t="str">
        <x:v>{"type": "Point", "coordinates": [33.48299, 39.73053]}</x:v>
      </x:c>
      <x:c r="AN93" s="133" t="str">
        <x:v>TATUS Baraj Gözlem Point</x:v>
      </x:c>
      <x:c r="AO93" s="133" t="str">
        <x:v>KAPULUKAYA</x:v>
      </x:c>
      <x:c r="AP93" s="133" t="n">
        <x:v>1</x:v>
      </x:c>
      <x:c r="AQ93" s="134" t="n">
        <x:v>39.73053</x:v>
      </x:c>
      <x:c r="AR93" s="134" t="n">
        <x:v>33.48299</x:v>
      </x:c>
      <x:c r="AS93" s="133" t="str">
        <x:v>{"type": "Point", "coordinates": [33.48299, 39.73053]}</x:v>
      </x:c>
      <x:c r="AT93" s="133" t="str">
        <x:v>https://cbs1.tarimorman.gov.tr/server/rest/services/TATUS/FeatureServer/7/query?where=HAVZA_ID%3D15+AND+%28BarajAdi%3D%27KAPULUKAYA%27%29&amp;outFields=OBJECTID%2CBarajAdi%2CHavzaAdi%2CHAVZA_ID%2CIl&amp;returnGeometry=true&amp;outSR=4326&amp;f=geojson</x:v>
      </x:c>
      <x:c r="AU93" s="133" t="str">
        <x:v>Kızılırmak</x:v>
      </x:c>
      <x:c r="AV93" s="133" t="str">
        <x:v>Polyline / LineString</x:v>
      </x:c>
      <x:c r="AW93" s="133" t="str">
        <x:v>https://cbs1.tarimorman.gov.tr/server/rest/services/TATUS/FeatureServer/8/query?where=HAVZA_ID%3D15&amp;geometry=33.482990%2C39.730530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3" s="133" t="str">
        <x:v>Havza ana akarsuyu ön-eşleme; TATUS spatial query ile doğrulanmalı</x:v>
      </x:c>
      <x:c r="AY93" s="133" t="str">
        <x:v>Polygon</x:v>
      </x:c>
      <x:c r="AZ93" s="133" t="str">
        <x:v>https://cbs1.tarimorman.gov.tr/server/rest/services/TATUS/FeatureServer/9/query?where=1%3D1&amp;geometry=33.482990%2C39.730530&amp;geometryType=esriGeometryPoint&amp;inSR=4326&amp;spatialRel=esriSpatialRelIntersects&amp;outFields=%2A&amp;returnGeometry=true&amp;outSR=4326&amp;resultRecordCount=5&amp;f=geojson</x:v>
      </x:c>
      <x:c r="BA93" s="133" t="str">
        <x:v>Santral popup: Su alanını göster</x:v>
      </x:c>
      <x:c r="BB93" s="133" t="str">
        <x:v>Yüksek</x:v>
      </x:c>
      <x:c r="BC93" s="133"/>
    </x:row>
    <x:row r="94" ht="30" customHeight="1">
      <x:c r="A94" s="100" t="n">
        <x:v>91</x:v>
      </x:c>
      <x:c r="B94" s="32" t="str">
        <x:v>KARACAÖREN1 HES</x:v>
      </x:c>
      <x:c r="C94" s="32" t="str">
        <x:v>Orta Akdeniz</x:v>
      </x:c>
      <x:c r="D94" s="32" t="str">
        <x:v>Antalya</x:v>
      </x:c>
      <x:c r="E94" s="34" t="n">
        <x:v>9</x:v>
      </x:c>
      <x:c r="F94" s="32" t="str">
        <x:v>https://cbs1.tarimorman.gov.tr/server/rest/services/TATUS/FeatureServer/11/query?where=ID%3D9&amp;outFields=ID%2CHAVZA_ADI%2CALAN_KM2&amp;returnGeometry=true&amp;outSR=4326&amp;f=geojson</x:v>
      </x:c>
      <x:c r="G94" s="32" t="str">
        <x:v>KARACAÖREN I</x:v>
      </x:c>
      <x:c r="H94" s="32" t="str">
        <x:v>BURDUR</x:v>
      </x:c>
      <x:c r="I94" s="36" t="n">
        <x:v>37.367</x:v>
      </x:c>
      <x:c r="J94" s="36" t="n">
        <x:v>30.83</x:v>
      </x:c>
      <x:c r="K94" s="38" t="n">
        <x:v>270</x:v>
      </x:c>
      <x:c r="L94" s="38" t="n">
        <x:v>245</x:v>
      </x:c>
      <x:c r="M94" s="32"/>
      <x:c r="N94" s="38" t="n">
        <x:v>32</x:v>
      </x:c>
      <x:c r="O94" s="38" t="n">
        <x:v>52</x:v>
      </x:c>
      <x:c r="P94" s="38" t="n">
        <x:v>1234</x:v>
      </x:c>
      <x:c r="Q94" s="38" t="n">
        <x:v>346.96</x:v>
      </x:c>
      <x:c r="R94" s="38" t="n">
        <x:v>402.92</x:v>
      </x:c>
      <x:c r="S94" s="38" t="n">
        <x:v>71.76</x:v>
      </x:c>
      <x:c r="T94" s="40" t="n">
        <x:v>46278.81434027778</x:v>
      </x:c>
      <x:c r="U94" s="32" t="str">
        <x:v>alias</x:v>
      </x:c>
      <x:c r="V94" s="32" t="str">
        <x:v>B</x:v>
      </x:c>
      <x:c r="W94" s="32" t="str">
        <x:v>Yüklü Debi_ve_Kurulu_Guc-13092026.xlsx</x:v>
      </x:c>
      <x:c r="X94" s="32" t="str">
        <x:v>Yüklü Debi_ve_Kurulu_Guc-13092026.xlsx</x:v>
      </x:c>
      <x:c r="Y94" s="32" t="str">
        <x:v>hes_MERKEZI_LISTESI.xlsx — trafo merkezi koordinatı (yaklaşık)</x:v>
      </x:c>
      <x:c r="Z94" s="32" t="str">
        <x:v>10</x:v>
      </x:c>
      <x:c r="AA94" s="101" t="str">
        <x:v>Baraj adı eşleşmesi: KARACAÖREN I;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94" s="133" t="str">
        <x:v>Trafo merkezi koordinatı ile tamamlandı</x:v>
      </x:c>
      <x:c r="AC94" s="133" t="str">
        <x:v>Trafo merkezi / elektrik bağlantı noktası (yaklaşık)</x:v>
      </x:c>
      <x:c r="AD94" s="133" t="n">
        <x:v>327</x:v>
      </x:c>
      <x:c r="AE94" s="133" t="str">
        <x:v>KARACAÖREN 1 HES</x:v>
      </x:c>
      <x:c r="AF94" s="133" t="str">
        <x:v>Burdur</x:v>
      </x:c>
      <x:c r="AG94" s="134" t="n">
        <x:v>37.367</x:v>
      </x:c>
      <x:c r="AH94" s="134" t="n">
        <x:v>30.83</x:v>
      </x:c>
      <x:c r="AI94" s="133" t="str">
        <x:v>Kontrollü ad/alias eşleşmesi</x:v>
      </x:c>
      <x:c r="AJ94" s="133" t="str">
        <x:v>Orta-Yüksek</x:v>
      </x:c>
      <x:c r="AK94" s="135"/>
      <x:c r="AL94" s="133" t="str">
        <x:v>Point</x:v>
      </x:c>
      <x:c r="AM94" s="133" t="str">
        <x:v>{"type": "Point", "coordinates": [30.83, 37.367]}</x:v>
      </x:c>
      <x:c r="AN94" s="133" t="str">
        <x:v>Trafo merkezi / elektrik bağlantı noktası (yaklaşık)</x:v>
      </x:c>
      <x:c r="AO94" s="133"/>
      <x:c r="AP94" s="133"/>
      <x:c r="AQ94" s="134"/>
      <x:c r="AR94" s="134"/>
      <x:c r="AS94" s="133"/>
      <x:c r="AT94" s="133" t="str">
        <x:v>https://cbs1.tarimorman.gov.tr/server/rest/services/TATUS/FeatureServer/7/query?where=HAVZA_ID%3D9+AND+%28BarajAdi%3D%27KARACA%C3%96REN+I%27+OR+BarajAdi%3D%27KARACA%C3%96REN1%27%29&amp;outFields=OBJECTID%2CBarajAdi%2CHavzaAdi%2CHAVZA_ID%2CIl&amp;returnGeometry=true&amp;outSR=4326&amp;f=geojson</x:v>
      </x:c>
      <x:c r="AU94" s="133"/>
      <x:c r="AV94" s="133" t="str">
        <x:v>Polyline / LineString</x:v>
      </x:c>
      <x:c r="AW94" s="133" t="str">
        <x:v>https://cbs1.tarimorman.gov.tr/server/rest/services/TATUS/FeatureServer/8/query?where=HAVZA_ID%3D9&amp;geometry=30.830000%2C37.367000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4" s="133" t="str">
        <x:v>TATUS spatial query hazır; en yakın/uygun LineString seçilmeli</x:v>
      </x:c>
      <x:c r="AY94" s="133" t="str">
        <x:v>Polygon</x:v>
      </x:c>
      <x:c r="AZ94" s="133" t="str">
        <x:v>https://cbs1.tarimorman.gov.tr/server/rest/services/TATUS/FeatureServer/9/query?where=1%3D1&amp;geometry=30.830000%2C37.367000&amp;geometryType=esriGeometryPoint&amp;inSR=4326&amp;spatialRel=esriSpatialRelIntersects&amp;outFields=%2A&amp;returnGeometry=true&amp;outSR=4326&amp;resultRecordCount=5&amp;f=geojson</x:v>
      </x:c>
      <x:c r="BA94" s="133" t="str">
        <x:v>Santral popup: Su alanını göster</x:v>
      </x:c>
      <x:c r="BB94" s="133" t="str">
        <x:v>Orta-Düşük</x:v>
      </x:c>
      <x:c r="BC94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5" ht="30" customHeight="1">
      <x:c r="A95" s="100" t="n">
        <x:v>92</x:v>
      </x:c>
      <x:c r="B95" s="32" t="str">
        <x:v>KARACAÖREN2 HES</x:v>
      </x:c>
      <x:c r="C95" s="32" t="str">
        <x:v>Orta Akdeniz</x:v>
      </x:c>
      <x:c r="D95" s="32" t="str">
        <x:v>Antalya</x:v>
      </x:c>
      <x:c r="E95" s="34" t="n">
        <x:v>9</x:v>
      </x:c>
      <x:c r="F95" s="32" t="str">
        <x:v>https://cbs1.tarimorman.gov.tr/server/rest/services/TATUS/FeatureServer/11/query?where=ID%3D9&amp;outFields=ID%2CHAVZA_ADI%2CALAN_KM2&amp;returnGeometry=true&amp;outSR=4326&amp;f=geojson</x:v>
      </x:c>
      <x:c r="G95" s="32" t="str">
        <x:v>KARACAÖREN II</x:v>
      </x:c>
      <x:c r="H95" s="32" t="str">
        <x:v>BURDUR</x:v>
      </x:c>
      <x:c r="I95" s="36" t="n">
        <x:v>37.264</x:v>
      </x:c>
      <x:c r="J95" s="36" t="n">
        <x:v>30.796</x:v>
      </x:c>
      <x:c r="K95" s="38" t="n">
        <x:v>187.5</x:v>
      </x:c>
      <x:c r="L95" s="38" t="n">
        <x:v>185</x:v>
      </x:c>
      <x:c r="M95" s="32"/>
      <x:c r="N95" s="38" t="n">
        <x:v>47.2</x:v>
      </x:c>
      <x:c r="O95" s="38" t="n">
        <x:v>51.2</x:v>
      </x:c>
      <x:c r="P95" s="38" t="n">
        <x:v>31.38</x:v>
      </x:c>
      <x:c r="Q95" s="38" t="n">
        <x:v>26.34</x:v>
      </x:c>
      <x:c r="R95" s="38" t="n">
        <x:v>4.41</x:v>
      </x:c>
      <x:c r="S95" s="38" t="n">
        <x:v>1.18</x:v>
      </x:c>
      <x:c r="T95" s="40" t="n">
        <x:v>46278.81434027778</x:v>
      </x:c>
      <x:c r="U95" s="32" t="str">
        <x:v>alias</x:v>
      </x:c>
      <x:c r="V95" s="32" t="str">
        <x:v>B</x:v>
      </x:c>
      <x:c r="W95" s="32" t="str">
        <x:v>Yüklü Debi_ve_Kurulu_Guc-13092026.xlsx</x:v>
      </x:c>
      <x:c r="X95" s="32" t="str">
        <x:v>Yüklü Debi_ve_Kurulu_Guc-13092026.xlsx</x:v>
      </x:c>
      <x:c r="Y95" s="32" t="str">
        <x:v>hes_MERKEZI_LISTESI.xlsx — trafo merkezi koordinatı (yaklaşık)</x:v>
      </x:c>
      <x:c r="Z95" s="32" t="str">
        <x:v>10</x:v>
      </x:c>
      <x:c r="AA95" s="101" t="str">
        <x:v>Baraj adı eşleşmesi: KARACAÖREN II;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95" s="133" t="str">
        <x:v>Trafo merkezi koordinatı ile tamamlandı</x:v>
      </x:c>
      <x:c r="AC95" s="133" t="str">
        <x:v>Trafo merkezi / elektrik bağlantı noktası (yaklaşık)</x:v>
      </x:c>
      <x:c r="AD95" s="133" t="n">
        <x:v>334</x:v>
      </x:c>
      <x:c r="AE95" s="133" t="str">
        <x:v>KARACAÖREN 2 HES</x:v>
      </x:c>
      <x:c r="AF95" s="133" t="str">
        <x:v>Burdur</x:v>
      </x:c>
      <x:c r="AG95" s="134" t="n">
        <x:v>37.264</x:v>
      </x:c>
      <x:c r="AH95" s="134" t="n">
        <x:v>30.796</x:v>
      </x:c>
      <x:c r="AI95" s="133" t="str">
        <x:v>Kontrollü ad/alias eşleşmesi</x:v>
      </x:c>
      <x:c r="AJ95" s="133" t="str">
        <x:v>Orta-Yüksek</x:v>
      </x:c>
      <x:c r="AK95" s="135"/>
      <x:c r="AL95" s="133" t="str">
        <x:v>Point</x:v>
      </x:c>
      <x:c r="AM95" s="133" t="str">
        <x:v>{"type": "Point", "coordinates": [30.796, 37.264]}</x:v>
      </x:c>
      <x:c r="AN95" s="133" t="str">
        <x:v>Trafo merkezi / elektrik bağlantı noktası (yaklaşık)</x:v>
      </x:c>
      <x:c r="AO95" s="133"/>
      <x:c r="AP95" s="133"/>
      <x:c r="AQ95" s="134"/>
      <x:c r="AR95" s="134"/>
      <x:c r="AS95" s="133"/>
      <x:c r="AT95" s="133" t="str">
        <x:v>https://cbs1.tarimorman.gov.tr/server/rest/services/TATUS/FeatureServer/7/query?where=HAVZA_ID%3D9+AND+%28BarajAdi%3D%27KARACA%C3%96REN+II%27+OR+BarajAdi%3D%27KARACA%C3%96REN2%27%29&amp;outFields=OBJECTID%2CBarajAdi%2CHavzaAdi%2CHAVZA_ID%2CIl&amp;returnGeometry=true&amp;outSR=4326&amp;f=geojson</x:v>
      </x:c>
      <x:c r="AU95" s="133"/>
      <x:c r="AV95" s="133" t="str">
        <x:v>Polyline / LineString</x:v>
      </x:c>
      <x:c r="AW95" s="133" t="str">
        <x:v>https://cbs1.tarimorman.gov.tr/server/rest/services/TATUS/FeatureServer/8/query?where=HAVZA_ID%3D9&amp;geometry=30.796000%2C37.264000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5" s="133" t="str">
        <x:v>TATUS spatial query hazır; en yakın/uygun LineString seçilmeli</x:v>
      </x:c>
      <x:c r="AY95" s="133" t="str">
        <x:v>Polygon</x:v>
      </x:c>
      <x:c r="AZ95" s="133" t="str">
        <x:v>https://cbs1.tarimorman.gov.tr/server/rest/services/TATUS/FeatureServer/9/query?where=1%3D1&amp;geometry=30.796000%2C37.264000&amp;geometryType=esriGeometryPoint&amp;inSR=4326&amp;spatialRel=esriSpatialRelIntersects&amp;outFields=%2A&amp;returnGeometry=true&amp;outSR=4326&amp;resultRecordCount=5&amp;f=geojson</x:v>
      </x:c>
      <x:c r="BA95" s="133" t="str">
        <x:v>Santral popup: Su alanını göster</x:v>
      </x:c>
      <x:c r="BB95" s="133" t="str">
        <x:v>Orta-Düşük</x:v>
      </x:c>
      <x:c r="BC95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6" ht="30" customHeight="1">
      <x:c r="A96" s="100" t="n">
        <x:v>93</x:v>
      </x:c>
      <x:c r="B96" s="32" t="str">
        <x:v>KARAKAYA HES DİYARBAKIR</x:v>
      </x:c>
      <x:c r="C96" s="32" t="str">
        <x:v>Fırat Dicle</x:v>
      </x:c>
      <x:c r="D96" s="32" t="str">
        <x:v>Fırat-Dicle</x:v>
      </x:c>
      <x:c r="E96" s="34" t="n">
        <x:v>21</x:v>
      </x:c>
      <x:c r="F96" s="32" t="str">
        <x:v>https://cbs1.tarimorman.gov.tr/server/rest/services/TATUS/FeatureServer/11/query?where=ID%3D21&amp;outFields=ID%2CHAVZA_ADI%2CALAN_KM2&amp;returnGeometry=true&amp;outSR=4326&amp;f=geojson</x:v>
      </x:c>
      <x:c r="G96" s="32" t="str">
        <x:v>KARAKAYA</x:v>
      </x:c>
      <x:c r="H96" s="32" t="str">
        <x:v>DİYARBAKIR</x:v>
      </x:c>
      <x:c r="I96" s="36" t="n">
        <x:v>38.226389</x:v>
      </x:c>
      <x:c r="J96" s="36" t="n">
        <x:v>39.135556</x:v>
      </x:c>
      <x:c r="K96" s="38" t="n">
        <x:v>693</x:v>
      </x:c>
      <x:c r="L96" s="38" t="n">
        <x:v>675</x:v>
      </x:c>
      <x:c r="M96" s="32" t="str">
        <x:v>ATATÜRK HES</x:v>
      </x:c>
      <x:c r="N96" s="38" t="n">
        <x:v>1800</x:v>
      </x:c>
      <x:c r="O96" s="38"/>
      <x:c r="P96" s="38"/>
      <x:c r="Q96" s="38"/>
      <x:c r="R96" s="38"/>
      <x:c r="S96" s="38"/>
      <x:c r="T96" s="40"/>
      <x:c r="U96" s="32" t="str">
        <x:v>eşleşme yok</x:v>
      </x:c>
      <x:c r="V96" s="32" t="str">
        <x:v>B</x:v>
      </x:c>
      <x:c r="W96" s="32" t="str">
        <x:v>https://openinframap.org/stats/area/Turkey/plants?source=hydro</x:v>
      </x:c>
      <x:c r="X96" s="32" t="str">
        <x:v>https://openinframap.org/stats/area/Turkey/plants?source=hydro</x:v>
      </x:c>
      <x:c r="Y96" s="32" t="str">
        <x:v>https://www.wikidata.org/wiki/Q152556</x:v>
      </x:c>
      <x:c r="Z96" s="32" t="str">
        <x:v>ATATÜRK HES</x:v>
      </x:c>
      <x:c r="AA96" s="101" t="str">
        <x:v>EPİAŞ su göstergesi eşleşmesi bulunamadı; Ünite debisi doğrulanamadı; Maksimum/minimum hacim doğrulanamadı</x:v>
      </x:c>
      <x:c r="AB96" s="133" t="str">
        <x:v>Doğrulanmış koordinat mevcut</x:v>
      </x:c>
      <x:c r="AC96" s="133" t="str">
        <x:v>HES / baraj noktası</x:v>
      </x:c>
      <x:c r="AD96" s="133"/>
      <x:c r="AE96" s="133"/>
      <x:c r="AF96" s="133"/>
      <x:c r="AG96" s="134"/>
      <x:c r="AH96" s="134"/>
      <x:c r="AI96" s="133"/>
      <x:c r="AJ96" s="133"/>
      <x:c r="AK96" s="135"/>
      <x:c r="AL96" s="133" t="str">
        <x:v>Point</x:v>
      </x:c>
      <x:c r="AM96" s="133" t="str">
        <x:v>{"type": "Point", "coordinates": [39.135556, 38.226389]}</x:v>
      </x:c>
      <x:c r="AN96" s="133" t="str">
        <x:v>HES / baraj noktası</x:v>
      </x:c>
      <x:c r="AO96" s="133"/>
      <x:c r="AP96" s="133"/>
      <x:c r="AQ96" s="134"/>
      <x:c r="AR96" s="134"/>
      <x:c r="AS96" s="133"/>
      <x:c r="AT96" s="133" t="str">
        <x:v>https://cbs1.tarimorman.gov.tr/server/rest/services/TATUS/FeatureServer/7/query?where=HAVZA_ID%3D21+AND+%28BarajAdi%3D%27KARAKAYA%27+OR+BarajAdi%3D%27KARAKAYA+HES+D%C4%B0YARBAKIR%27%29&amp;outFields=OBJECTID%2CBarajAdi%2CHavzaAdi%2CHAVZA_ID%2CIl&amp;returnGeometry=true&amp;outSR=4326&amp;f=geojson</x:v>
      </x:c>
      <x:c r="AU96" s="133"/>
      <x:c r="AV96" s="133" t="str">
        <x:v>Polyline / LineString</x:v>
      </x:c>
      <x:c r="AW96" s="133" t="str">
        <x:v>https://cbs1.tarimorman.gov.tr/server/rest/services/TATUS/FeatureServer/8/query?where=HAVZA_ID%3D21&amp;geometry=39.135556%2C38.226389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6" s="133" t="str">
        <x:v>TATUS spatial query hazır; en yakın/uygun LineString seçilmeli</x:v>
      </x:c>
      <x:c r="AY96" s="133" t="str">
        <x:v>Polygon</x:v>
      </x:c>
      <x:c r="AZ96" s="133" t="str">
        <x:v>https://cbs1.tarimorman.gov.tr/server/rest/services/TATUS/FeatureServer/9/query?where=1%3D1&amp;geometry=39.135556%2C38.226389&amp;geometryType=esriGeometryPoint&amp;inSR=4326&amp;spatialRel=esriSpatialRelIntersects&amp;outFields=%2A&amp;returnGeometry=true&amp;outSR=4326&amp;resultRecordCount=5&amp;f=geojson</x:v>
      </x:c>
      <x:c r="BA96" s="133" t="str">
        <x:v>Santral popup: Su alanını göster</x:v>
      </x:c>
      <x:c r="BB96" s="133" t="str">
        <x:v>Yüksek</x:v>
      </x:c>
      <x:c r="BC96" s="133" t="str">
        <x:v>TATUS baraj point doğrudan eşleşmesi bu çalışma kitabında çözülmedi; sorgu URL'si eklendi; Fırat-Dicle havzasında nehir adı havzadan türetilmedi; yanlış Fırat/Dicle eşleşmesini önlemek için spatial doğrulama gerekli</x:v>
      </x:c>
    </x:row>
    <x:row r="97" ht="30" customHeight="1">
      <x:c r="A97" s="100" t="n">
        <x:v>94</x:v>
      </x:c>
      <x:c r="B97" s="32" t="str">
        <x:v>KARAKURT HES</x:v>
      </x:c>
      <x:c r="C97" s="32" t="str">
        <x:v>Aras</x:v>
      </x:c>
      <x:c r="D97" s="32" t="str">
        <x:v>Aras</x:v>
      </x:c>
      <x:c r="E97" s="34" t="n">
        <x:v>24</x:v>
      </x:c>
      <x:c r="F97" s="32" t="str">
        <x:v>https://cbs1.tarimorman.gov.tr/server/rest/services/TATUS/FeatureServer/11/query?where=ID%3D24&amp;outFields=ID%2CHAVZA_ADI%2CALAN_KM2&amp;returnGeometry=true&amp;outSR=4326&amp;f=geojson</x:v>
      </x:c>
      <x:c r="G97" s="32" t="str">
        <x:v>KARAKURT</x:v>
      </x:c>
      <x:c r="H97" s="32" t="str">
        <x:v>KARS</x:v>
      </x:c>
      <x:c r="I97" s="36" t="n">
        <x:v>40.143</x:v>
      </x:c>
      <x:c r="J97" s="36" t="n">
        <x:v>42.699</x:v>
      </x:c>
      <x:c r="K97" s="38" t="n">
        <x:v>1505.5</x:v>
      </x:c>
      <x:c r="L97" s="38" t="n">
        <x:v>1470</x:v>
      </x:c>
      <x:c r="M97" s="32" t="str">
        <x:v>SEFAKÖY HES</x:v>
      </x:c>
      <x:c r="N97" s="38" t="n">
        <x:v>97</x:v>
      </x:c>
      <x:c r="O97" s="38"/>
      <x:c r="P97" s="38"/>
      <x:c r="Q97" s="38"/>
      <x:c r="R97" s="38"/>
      <x:c r="S97" s="38"/>
      <x:c r="T97" s="40"/>
      <x:c r="U97" s="32" t="str">
        <x:v>eşleşme yok</x:v>
      </x:c>
      <x:c r="V97" s="32" t="str">
        <x:v>C</x:v>
      </x:c>
      <x:c r="W97" s="32" t="str">
        <x:v>https://openinframap.org/stats/area/Turkey/plants?source=hydro</x:v>
      </x:c>
      <x:c r="X97" s="32" t="str">
        <x:v>https://openinframap.org/stats/area/Turkey/plants?source=hydro</x:v>
      </x:c>
      <x:c r="Y97" s="32" t="str">
        <x:v>hes_MERKEZI_LISTESI.xlsx — trafo merkezi koordinatı (yaklaşık)</x:v>
      </x:c>
      <x:c r="Z97" s="32" t="str">
        <x:v>SEFAKÖY HES</x:v>
      </x:c>
      <x:c r="AA97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97" s="133" t="str">
        <x:v>Trafo merkezi koordinatı ile tamamlandı</x:v>
      </x:c>
      <x:c r="AC97" s="133" t="str">
        <x:v>Trafo merkezi / elektrik bağlantı noktası (yaklaşık)</x:v>
      </x:c>
      <x:c r="AD97" s="133" t="n">
        <x:v>1692</x:v>
      </x:c>
      <x:c r="AE97" s="133" t="str">
        <x:v>KARAKURT HES</x:v>
      </x:c>
      <x:c r="AF97" s="133" t="str">
        <x:v>Kars</x:v>
      </x:c>
      <x:c r="AG97" s="134" t="n">
        <x:v>40.143</x:v>
      </x:c>
      <x:c r="AH97" s="134" t="n">
        <x:v>42.699</x:v>
      </x:c>
      <x:c r="AI97" s="133" t="str">
        <x:v>Tam ad eşleşmesi</x:v>
      </x:c>
      <x:c r="AJ97" s="133" t="str">
        <x:v>Yüksek</x:v>
      </x:c>
      <x:c r="AK97" s="135"/>
      <x:c r="AL97" s="133" t="str">
        <x:v>Point</x:v>
      </x:c>
      <x:c r="AM97" s="133" t="str">
        <x:v>{"type": "Point", "coordinates": [42.699, 40.143]}</x:v>
      </x:c>
      <x:c r="AN97" s="133" t="str">
        <x:v>Trafo merkezi / elektrik bağlantı noktası (yaklaşık)</x:v>
      </x:c>
      <x:c r="AO97" s="133"/>
      <x:c r="AP97" s="133"/>
      <x:c r="AQ97" s="134"/>
      <x:c r="AR97" s="134"/>
      <x:c r="AS97" s="133"/>
      <x:c r="AT97" s="133" t="str">
        <x:v>https://cbs1.tarimorman.gov.tr/server/rest/services/TATUS/FeatureServer/7/query?where=HAVZA_ID%3D24+AND+%28BarajAdi%3D%27KARAKURT%27%29&amp;outFields=OBJECTID%2CBarajAdi%2CHavzaAdi%2CHAVZA_ID%2CIl&amp;returnGeometry=true&amp;outSR=4326&amp;f=geojson</x:v>
      </x:c>
      <x:c r="AU97" s="133" t="str">
        <x:v>Aras</x:v>
      </x:c>
      <x:c r="AV97" s="133" t="str">
        <x:v>Polyline / LineString</x:v>
      </x:c>
      <x:c r="AW97" s="133" t="str">
        <x:v>https://cbs1.tarimorman.gov.tr/server/rest/services/TATUS/FeatureServer/8/query?where=HAVZA_ID%3D24&amp;geometry=42.699000%2C40.143000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7" s="133" t="str">
        <x:v>Havza ana akarsuyu ön-eşleme; TATUS spatial query ile doğrulanmalı</x:v>
      </x:c>
      <x:c r="AY97" s="133" t="str">
        <x:v>Polygon</x:v>
      </x:c>
      <x:c r="AZ97" s="133" t="str">
        <x:v>https://cbs1.tarimorman.gov.tr/server/rest/services/TATUS/FeatureServer/9/query?where=1%3D1&amp;geometry=42.699000%2C40.143000&amp;geometryType=esriGeometryPoint&amp;inSR=4326&amp;spatialRel=esriSpatialRelIntersects&amp;outFields=%2A&amp;returnGeometry=true&amp;outSR=4326&amp;resultRecordCount=5&amp;f=geojson</x:v>
      </x:c>
      <x:c r="BA97" s="133" t="str">
        <x:v>Santral popup: Su alanını göster</x:v>
      </x:c>
      <x:c r="BB97" s="133" t="str">
        <x:v>Orta-Düşük</x:v>
      </x:c>
      <x:c r="BC9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8" ht="30" customHeight="1">
      <x:c r="A98" s="100" t="n">
        <x:v>95</x:v>
      </x:c>
      <x:c r="B98" s="32" t="str">
        <x:v>KARAKUZ HES</x:v>
      </x:c>
      <x:c r="C98" s="32" t="str">
        <x:v>Doğu Akdeniz</x:v>
      </x:c>
      <x:c r="D98" s="32" t="str">
        <x:v>Doğu Akdeniz</x:v>
      </x:c>
      <x:c r="E98" s="34" t="n">
        <x:v>17</x:v>
      </x:c>
      <x:c r="F98" s="32" t="str">
        <x:v>https://cbs1.tarimorman.gov.tr/server/rest/services/TATUS/FeatureServer/11/query?where=ID%3D17&amp;outFields=ID%2CHAVZA_ADI%2CALAN_KM2&amp;returnGeometry=true&amp;outSR=4326&amp;f=geojson</x:v>
      </x:c>
      <x:c r="G98" s="32" t="str">
        <x:v>KARAKUZ</x:v>
      </x:c>
      <x:c r="H98" s="32" t="str">
        <x:v>ADANA</x:v>
      </x:c>
      <x:c r="I98" s="36" t="n">
        <x:v>37.363</x:v>
      </x:c>
      <x:c r="J98" s="36" t="n">
        <x:v>35.124</x:v>
      </x:c>
      <x:c r="K98" s="38" t="n">
        <x:v>831</x:v>
      </x:c>
      <x:c r="L98" s="38" t="n">
        <x:v>818</x:v>
      </x:c>
      <x:c r="M98" s="32"/>
      <x:c r="N98" s="38" t="n">
        <x:v>76</x:v>
      </x:c>
      <x:c r="O98" s="38" t="n">
        <x:v>16.4</x:v>
      </x:c>
      <x:c r="P98" s="38" t="n">
        <x:v>5.11</x:v>
      </x:c>
      <x:c r="Q98" s="38" t="n">
        <x:v>1.7</x:v>
      </x:c>
      <x:c r="R98" s="38" t="n">
        <x:v>2.25</x:v>
      </x:c>
      <x:c r="S98" s="38" t="n">
        <x:v>3.31</x:v>
      </x:c>
      <x:c r="T98" s="40" t="n">
        <x:v>46278.81434027778</x:v>
      </x:c>
      <x:c r="U98" s="32" t="str">
        <x:v>exact</x:v>
      </x:c>
      <x:c r="V98" s="32" t="str">
        <x:v>B</x:v>
      </x:c>
      <x:c r="W98" s="32" t="str">
        <x:v>Yüklü Debi_ve_Kurulu_Guc-13092026.xlsx</x:v>
      </x:c>
      <x:c r="X98" s="32" t="str">
        <x:v>Yüklü Debi_ve_Kurulu_Guc-13092026.xlsx</x:v>
      </x:c>
      <x:c r="Y98" s="32" t="str">
        <x:v>hes_MERKEZI_LISTESI.xlsx — trafo merkezi koordinatı (yaklaşık)</x:v>
      </x:c>
      <x:c r="Z98" s="32" t="str">
        <x:v>10</x:v>
      </x:c>
      <x:c r="AA98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98" s="133" t="str">
        <x:v>Trafo merkezi koordinatı ile tamamlandı</x:v>
      </x:c>
      <x:c r="AC98" s="133" t="str">
        <x:v>Trafo merkezi / elektrik bağlantı noktası (yaklaşık)</x:v>
      </x:c>
      <x:c r="AD98" s="133" t="n">
        <x:v>1235</x:v>
      </x:c>
      <x:c r="AE98" s="133" t="str">
        <x:v>KARAKUZ HES</x:v>
      </x:c>
      <x:c r="AF98" s="133" t="str">
        <x:v>Adana</x:v>
      </x:c>
      <x:c r="AG98" s="134" t="n">
        <x:v>37.363</x:v>
      </x:c>
      <x:c r="AH98" s="134" t="n">
        <x:v>35.124</x:v>
      </x:c>
      <x:c r="AI98" s="133" t="str">
        <x:v>Tam ad eşleşmesi</x:v>
      </x:c>
      <x:c r="AJ98" s="133" t="str">
        <x:v>Yüksek</x:v>
      </x:c>
      <x:c r="AK98" s="135"/>
      <x:c r="AL98" s="133" t="str">
        <x:v>Point</x:v>
      </x:c>
      <x:c r="AM98" s="133" t="str">
        <x:v>{"type": "Point", "coordinates": [35.124, 37.363]}</x:v>
      </x:c>
      <x:c r="AN98" s="133" t="str">
        <x:v>Trafo merkezi / elektrik bağlantı noktası (yaklaşık)</x:v>
      </x:c>
      <x:c r="AO98" s="133"/>
      <x:c r="AP98" s="133"/>
      <x:c r="AQ98" s="134"/>
      <x:c r="AR98" s="134"/>
      <x:c r="AS98" s="133"/>
      <x:c r="AT98" s="133" t="str">
        <x:v>https://cbs1.tarimorman.gov.tr/server/rest/services/TATUS/FeatureServer/7/query?where=HAVZA_ID%3D17+AND+%28BarajAdi%3D%27KARAKUZ%27%29&amp;outFields=OBJECTID%2CBarajAdi%2CHavzaAdi%2CHAVZA_ID%2CIl&amp;returnGeometry=true&amp;outSR=4326&amp;f=geojson</x:v>
      </x:c>
      <x:c r="AU98" s="133"/>
      <x:c r="AV98" s="133" t="str">
        <x:v>Polyline / LineString</x:v>
      </x:c>
      <x:c r="AW98" s="133" t="str">
        <x:v>https://cbs1.tarimorman.gov.tr/server/rest/services/TATUS/FeatureServer/8/query?where=HAVZA_ID%3D17&amp;geometry=35.124000%2C37.363000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8" s="133" t="str">
        <x:v>TATUS spatial query hazır; en yakın/uygun LineString seçilmeli</x:v>
      </x:c>
      <x:c r="AY98" s="133" t="str">
        <x:v>Polygon</x:v>
      </x:c>
      <x:c r="AZ98" s="133" t="str">
        <x:v>https://cbs1.tarimorman.gov.tr/server/rest/services/TATUS/FeatureServer/9/query?where=1%3D1&amp;geometry=35.124000%2C37.363000&amp;geometryType=esriGeometryPoint&amp;inSR=4326&amp;spatialRel=esriSpatialRelIntersects&amp;outFields=%2A&amp;returnGeometry=true&amp;outSR=4326&amp;resultRecordCount=5&amp;f=geojson</x:v>
      </x:c>
      <x:c r="BA98" s="133" t="str">
        <x:v>Santral popup: Su alanını göster</x:v>
      </x:c>
      <x:c r="BB98" s="133" t="str">
        <x:v>Orta-Düşük</x:v>
      </x:c>
      <x:c r="BC98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99" ht="30" customHeight="1">
      <x:c r="A99" s="100" t="n">
        <x:v>96</x:v>
      </x:c>
      <x:c r="B99" s="32" t="str">
        <x:v>KARAMENDERES HES</x:v>
      </x:c>
      <x:c r="C99" s="32" t="str">
        <x:v>Kuzey Ege</x:v>
      </x:c>
      <x:c r="D99" s="32" t="str">
        <x:v>Kuzey Ege</x:v>
      </x:c>
      <x:c r="E99" s="34" t="n">
        <x:v>4</x:v>
      </x:c>
      <x:c r="F99" s="32" t="str">
        <x:v>https://cbs1.tarimorman.gov.tr/server/rest/services/TATUS/FeatureServer/11/query?where=ID%3D4&amp;outFields=ID%2CHAVZA_ADI%2CALAN_KM2&amp;returnGeometry=true&amp;outSR=4326&amp;f=geojson</x:v>
      </x:c>
      <x:c r="G99" s="32" t="str">
        <x:v>BAYRAMİÇ</x:v>
      </x:c>
      <x:c r="H99" s="32" t="str">
        <x:v>ÇANAKKALE</x:v>
      </x:c>
      <x:c r="I99" s="36" t="n">
        <x:v>39.82303</x:v>
      </x:c>
      <x:c r="J99" s="36" t="n">
        <x:v>26.66721</x:v>
      </x:c>
      <x:c r="K99" s="38" t="n">
        <x:v>144.5</x:v>
      </x:c>
      <x:c r="L99" s="38" t="n">
        <x:v>122</x:v>
      </x:c>
      <x:c r="M99" s="32"/>
      <x:c r="N99" s="38" t="n">
        <x:v>1.8</x:v>
      </x:c>
      <x:c r="O99" s="38" t="n">
        <x:v>6.8</x:v>
      </x:c>
      <x:c r="P99" s="38" t="n">
        <x:v>96.24</x:v>
      </x:c>
      <x:c r="Q99" s="38" t="n">
        <x:v>9.77</x:v>
      </x:c>
      <x:c r="R99" s="38" t="n">
        <x:v>15.46</x:v>
      </x:c>
      <x:c r="S99" s="38" t="n">
        <x:v>1.09</x:v>
      </x:c>
      <x:c r="T99" s="40" t="n">
        <x:v>46278.81434027778</x:v>
      </x:c>
      <x:c r="U99" s="32" t="str">
        <x:v>alias</x:v>
      </x:c>
      <x:c r="V99" s="32" t="str">
        <x:v>B</x:v>
      </x:c>
      <x:c r="W99" s="32" t="str">
        <x:v>Yüklü Debi_ve_Kurulu_Guc-13092026.xlsx</x:v>
      </x:c>
      <x:c r="X99" s="32" t="str">
        <x:v>Yüklü Debi_ve_Kurulu_Guc-13092026.xlsx</x:v>
      </x:c>
      <x:c r="Y99" s="32" t="str">
        <x:v>TATUS Baraj Gözlem İstasyonları (FeatureServer/7) fallback</x:v>
      </x:c>
      <x:c r="Z99" s="32" t="str">
        <x:v>10</x:v>
      </x:c>
      <x:c r="AA99" s="101" t="str">
        <x:v>Baraj adı eşleşmesi: BAYRAMİÇ; Kaskat alanında kaynak değeri '10' (belirsiz/sentinel); Koordinat güvenilir açık kaynaktan doğrulanamadı; TATUS baraj noktası fallback: BAYRAMİÇ (reservoir_exact); 1 nokta</x:v>
      </x:c>
      <x:c r="AB99" s="133" t="str">
        <x:v>TATUS baraj gözlem istasyonu ile tamamlandı</x:v>
      </x:c>
      <x:c r="AC99" s="133" t="str">
        <x:v>Baraj gözlem istasyonu (TATUS fallback)</x:v>
      </x:c>
      <x:c r="AD99" s="133"/>
      <x:c r="AE99" s="133"/>
      <x:c r="AF99" s="133"/>
      <x:c r="AG99" s="134"/>
      <x:c r="AH99" s="134"/>
      <x:c r="AI99" s="133"/>
      <x:c r="AJ99" s="133"/>
      <x:c r="AK99" s="135"/>
      <x:c r="AL99" s="133" t="str">
        <x:v>Point</x:v>
      </x:c>
      <x:c r="AM99" s="133" t="str">
        <x:v>{"type": "Point", "coordinates": [26.66721, 39.82303]}</x:v>
      </x:c>
      <x:c r="AN99" s="133" t="str">
        <x:v>TATUS Baraj Gözlem Point</x:v>
      </x:c>
      <x:c r="AO99" s="133" t="str">
        <x:v>BAYRAMİÇ</x:v>
      </x:c>
      <x:c r="AP99" s="133" t="n">
        <x:v>1</x:v>
      </x:c>
      <x:c r="AQ99" s="134" t="n">
        <x:v>39.82303</x:v>
      </x:c>
      <x:c r="AR99" s="134" t="n">
        <x:v>26.66721</x:v>
      </x:c>
      <x:c r="AS99" s="133" t="str">
        <x:v>{"type": "Point", "coordinates": [26.66721, 39.82303]}</x:v>
      </x:c>
      <x:c r="AT99" s="133" t="str">
        <x:v>https://cbs1.tarimorman.gov.tr/server/rest/services/TATUS/FeatureServer/7/query?where=HAVZA_ID%3D4+AND+%28BarajAdi%3D%27BAYRAM%C4%B0%C3%87%27+OR+BarajAdi%3D%27KARAMENDERES%27%29&amp;outFields=OBJECTID%2CBarajAdi%2CHavzaAdi%2CHAVZA_ID%2CIl&amp;returnGeometry=true&amp;outSR=4326&amp;f=geojson</x:v>
      </x:c>
      <x:c r="AU99" s="133"/>
      <x:c r="AV99" s="133" t="str">
        <x:v>Polyline / LineString</x:v>
      </x:c>
      <x:c r="AW99" s="133" t="str">
        <x:v>https://cbs1.tarimorman.gov.tr/server/rest/services/TATUS/FeatureServer/8/query?where=HAVZA_ID%3D4&amp;geometry=26.667210%2C39.823030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99" s="133" t="str">
        <x:v>TATUS spatial query hazır; en yakın/uygun LineString seçilmeli</x:v>
      </x:c>
      <x:c r="AY99" s="133" t="str">
        <x:v>Polygon</x:v>
      </x:c>
      <x:c r="AZ99" s="133" t="str">
        <x:v>https://cbs1.tarimorman.gov.tr/server/rest/services/TATUS/FeatureServer/9/query?where=1%3D1&amp;geometry=26.667210%2C39.823030&amp;geometryType=esriGeometryPoint&amp;inSR=4326&amp;spatialRel=esriSpatialRelIntersects&amp;outFields=%2A&amp;returnGeometry=true&amp;outSR=4326&amp;resultRecordCount=5&amp;f=geojson</x:v>
      </x:c>
      <x:c r="BA99" s="133" t="str">
        <x:v>Santral popup: Su alanını göster</x:v>
      </x:c>
      <x:c r="BB99" s="133" t="str">
        <x:v>Yüksek-Orta</x:v>
      </x:c>
      <x:c r="BC99" s="133"/>
    </x:row>
    <x:row r="100" ht="30" customHeight="1">
      <x:c r="A100" s="100" t="n">
        <x:v>97</x:v>
      </x:c>
      <x:c r="B100" s="32" t="str">
        <x:v>KARGI HES</x:v>
      </x:c>
      <x:c r="C100" s="32" t="str">
        <x:v>Sakarya</x:v>
      </x:c>
      <x:c r="D100" s="32" t="str">
        <x:v>Sakarya</x:v>
      </x:c>
      <x:c r="E100" s="34" t="n">
        <x:v>12</x:v>
      </x:c>
      <x:c r="F100" s="32" t="str">
        <x:v>https://cbs1.tarimorman.gov.tr/server/rest/services/TATUS/FeatureServer/11/query?where=ID%3D12&amp;outFields=ID%2CHAVZA_ADI%2CALAN_KM2&amp;returnGeometry=true&amp;outSR=4326&amp;f=geojson</x:v>
      </x:c>
      <x:c r="G100" s="32" t="str">
        <x:v>KARGI BARAJI VE HES</x:v>
      </x:c>
      <x:c r="H100" s="32" t="str">
        <x:v>ANKARA</x:v>
      </x:c>
      <x:c r="I100" s="36" t="n">
        <x:v>39.967</x:v>
      </x:c>
      <x:c r="J100" s="36" t="n">
        <x:v>31.739</x:v>
      </x:c>
      <x:c r="K100" s="38" t="n">
        <x:v>557.5</x:v>
      </x:c>
      <x:c r="L100" s="38" t="n">
        <x:v>552.6</x:v>
      </x:c>
      <x:c r="M100" s="32" t="str">
        <x:v>SARIYAR HES</x:v>
      </x:c>
      <x:c r="N100" s="38" t="n">
        <x:v>97</x:v>
      </x:c>
      <x:c r="O100" s="38" t="n">
        <x:v>137</x:v>
      </x:c>
      <x:c r="P100" s="38" t="n">
        <x:v>49.9</x:v>
      </x:c>
      <x:c r="Q100" s="38" t="n">
        <x:v>40.12</x:v>
      </x:c>
      <x:c r="R100" s="38" t="n">
        <x:v>5.05</x:v>
      </x:c>
      <x:c r="S100" s="38" t="n">
        <x:v>1.05</x:v>
      </x:c>
      <x:c r="T100" s="40" t="n">
        <x:v>46278.81434027778</x:v>
      </x:c>
      <x:c r="U100" s="32" t="str">
        <x:v>exact</x:v>
      </x:c>
      <x:c r="V100" s="32" t="str">
        <x:v>B</x:v>
      </x:c>
      <x:c r="W100" s="32" t="str">
        <x:v>Yüklü Debi_ve_Kurulu_Guc-13092026.xlsx</x:v>
      </x:c>
      <x:c r="X100" s="32" t="str">
        <x:v>Yüklü Debi_ve_Kurulu_Guc-13092026.xlsx</x:v>
      </x:c>
      <x:c r="Y100" s="32" t="str">
        <x:v>hes_MERKEZI_LISTESI.xlsx — trafo merkezi koordinatı (yaklaşık)</x:v>
      </x:c>
      <x:c r="Z100" s="32" t="str">
        <x:v>SARIYAR HES</x:v>
      </x:c>
      <x:c r="AA100" s="101" t="str">
        <x:v>Koordinat güvenilir açık kaynaktan doğrulanamadı; Santral/baraj kesin koordinatı doğrulanamadığı için eşleşen trafo merkezi koordinatı harita referansı olarak kullanıldı; kesin HES konumu değildir.</x:v>
      </x:c>
      <x:c r="AB100" s="133" t="str">
        <x:v>Trafo merkezi koordinatı ile tamamlandı</x:v>
      </x:c>
      <x:c r="AC100" s="133" t="str">
        <x:v>Trafo merkezi / elektrik bağlantı noktası (yaklaşık)</x:v>
      </x:c>
      <x:c r="AD100" s="133" t="n">
        <x:v>1436</x:v>
      </x:c>
      <x:c r="AE100" s="133" t="str">
        <x:v>KARGI HES</x:v>
      </x:c>
      <x:c r="AF100" s="133" t="str">
        <x:v>Ankara</x:v>
      </x:c>
      <x:c r="AG100" s="134" t="n">
        <x:v>39.967</x:v>
      </x:c>
      <x:c r="AH100" s="134" t="n">
        <x:v>31.739</x:v>
      </x:c>
      <x:c r="AI100" s="133" t="str">
        <x:v>Tam ad eşleşmesi</x:v>
      </x:c>
      <x:c r="AJ100" s="133" t="str">
        <x:v>Yüksek</x:v>
      </x:c>
      <x:c r="AK100" s="135"/>
      <x:c r="AL100" s="133" t="str">
        <x:v>Point</x:v>
      </x:c>
      <x:c r="AM100" s="133" t="str">
        <x:v>{"type": "Point", "coordinates": [31.739, 39.967]}</x:v>
      </x:c>
      <x:c r="AN100" s="133" t="str">
        <x:v>Trafo merkezi / elektrik bağlantı noktası (yaklaşık)</x:v>
      </x:c>
      <x:c r="AO100" s="133"/>
      <x:c r="AP100" s="133"/>
      <x:c r="AQ100" s="134"/>
      <x:c r="AR100" s="134"/>
      <x:c r="AS100" s="133"/>
      <x:c r="AT100" s="133" t="str">
        <x:v>https://cbs1.tarimorman.gov.tr/server/rest/services/TATUS/FeatureServer/7/query?where=HAVZA_ID%3D12+AND+%28BarajAdi%3D%27KARGI+BARAJI+VE+HES%27+OR+BarajAdi%3D%27KARGI%27%29&amp;outFields=OBJECTID%2CBarajAdi%2CHavzaAdi%2CHAVZA_ID%2CIl&amp;returnGeometry=true&amp;outSR=4326&amp;f=geojson</x:v>
      </x:c>
      <x:c r="AU100" s="133" t="str">
        <x:v>Sakarya</x:v>
      </x:c>
      <x:c r="AV100" s="133" t="str">
        <x:v>Polyline / LineString</x:v>
      </x:c>
      <x:c r="AW100" s="133" t="str">
        <x:v>https://cbs1.tarimorman.gov.tr/server/rest/services/TATUS/FeatureServer/8/query?where=HAVZA_ID%3D12&amp;geometry=31.739000%2C39.967000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0" s="133" t="str">
        <x:v>Havza ana akarsuyu ön-eşleme; TATUS spatial query ile doğrulanmalı</x:v>
      </x:c>
      <x:c r="AY100" s="133" t="str">
        <x:v>Polygon</x:v>
      </x:c>
      <x:c r="AZ100" s="133" t="str">
        <x:v>https://cbs1.tarimorman.gov.tr/server/rest/services/TATUS/FeatureServer/9/query?where=1%3D1&amp;geometry=31.739000%2C39.967000&amp;geometryType=esriGeometryPoint&amp;inSR=4326&amp;spatialRel=esriSpatialRelIntersects&amp;outFields=%2A&amp;returnGeometry=true&amp;outSR=4326&amp;resultRecordCount=5&amp;f=geojson</x:v>
      </x:c>
      <x:c r="BA100" s="133" t="str">
        <x:v>Santral popup: Su alanını göster</x:v>
      </x:c>
      <x:c r="BB100" s="133" t="str">
        <x:v>Orta-Düşük</x:v>
      </x:c>
      <x:c r="BC100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01" ht="30" customHeight="1">
      <x:c r="A101" s="100" t="n">
        <x:v>98</x:v>
      </x:c>
      <x:c r="B101" s="32" t="str">
        <x:v>KARGI KIZILIRMAK HES</x:v>
      </x:c>
      <x:c r="C101" s="32" t="str">
        <x:v>Kızılırmak</x:v>
      </x:c>
      <x:c r="D101" s="32" t="str">
        <x:v>Kızılırmak</x:v>
      </x:c>
      <x:c r="E101" s="34" t="n">
        <x:v>15</x:v>
      </x:c>
      <x:c r="F101" s="32" t="str">
        <x:v>https://cbs1.tarimorman.gov.tr/server/rest/services/TATUS/FeatureServer/11/query?where=ID%3D15&amp;outFields=ID%2CHAVZA_ADI%2CALAN_KM2&amp;returnGeometry=true&amp;outSR=4326&amp;f=geojson</x:v>
      </x:c>
      <x:c r="G101" s="32" t="str">
        <x:v>KARGI KIZILIRMAK</x:v>
      </x:c>
      <x:c r="H101" s="32" t="str">
        <x:v>ÇORUM</x:v>
      </x:c>
      <x:c r="I101" s="36" t="n">
        <x:v>41.106</x:v>
      </x:c>
      <x:c r="J101" s="36" t="n">
        <x:v>34.651</x:v>
      </x:c>
      <x:c r="K101" s="38" t="n">
        <x:v>405</x:v>
      </x:c>
      <x:c r="L101" s="38" t="n">
        <x:v>402</x:v>
      </x:c>
      <x:c r="M101" s="32" t="str">
        <x:v>BOYABAT HES</x:v>
      </x:c>
      <x:c r="N101" s="38" t="n">
        <x:v>103</x:v>
      </x:c>
      <x:c r="O101" s="38" t="n">
        <x:v>167</x:v>
      </x:c>
      <x:c r="P101" s="38" t="n">
        <x:v>15.42</x:v>
      </x:c>
      <x:c r="Q101" s="38" t="n">
        <x:v>5.61</x:v>
      </x:c>
      <x:c r="R101" s="38" t="n">
        <x:v>2.33</x:v>
      </x:c>
      <x:c r="S101" s="38" t="n">
        <x:v>0.43</x:v>
      </x:c>
      <x:c r="T101" s="40" t="n">
        <x:v>46278.81434027778</x:v>
      </x:c>
      <x:c r="U101" s="32" t="str">
        <x:v>alias</x:v>
      </x:c>
      <x:c r="V101" s="32" t="str">
        <x:v>B</x:v>
      </x:c>
      <x:c r="W101" s="32" t="str">
        <x:v>Yüklü Debi_ve_Kurulu_Guc-13092026.xlsx</x:v>
      </x:c>
      <x:c r="X101" s="32" t="str">
        <x:v>Yüklü Debi_ve_Kurulu_Guc-13092026.xlsx</x:v>
      </x:c>
      <x:c r="Y101" s="32" t="str">
        <x:v>hes_MERKEZI_LISTESI.xlsx — trafo merkezi koordinatı (yaklaşık)</x:v>
      </x:c>
      <x:c r="Z101" s="32" t="str">
        <x:v>BOYABAT HES</x:v>
      </x:c>
      <x:c r="AA101" s="101" t="str">
        <x:v>Baraj adı eşleşmesi: KARGI KIZILIRMAK; Koordinat güvenilir açık kaynaktan doğrulanamadı; Santral/baraj kesin koordinatı doğrulanamadığı için eşleşen trafo merkezi koordinatı harita referansı olarak kullanıldı; kesin HES konumu değildir.</x:v>
      </x:c>
      <x:c r="AB101" s="133" t="str">
        <x:v>Trafo merkezi koordinatı ile tamamlandı</x:v>
      </x:c>
      <x:c r="AC101" s="133" t="str">
        <x:v>Trafo merkezi / elektrik bağlantı noktası (yaklaşık)</x:v>
      </x:c>
      <x:c r="AD101" s="133" t="n">
        <x:v>1261</x:v>
      </x:c>
      <x:c r="AE101" s="133" t="str">
        <x:v>KARGI KIZILIRMAK HES</x:v>
      </x:c>
      <x:c r="AF101" s="133" t="str">
        <x:v>Çorum</x:v>
      </x:c>
      <x:c r="AG101" s="134" t="n">
        <x:v>41.106</x:v>
      </x:c>
      <x:c r="AH101" s="134" t="n">
        <x:v>34.651</x:v>
      </x:c>
      <x:c r="AI101" s="133" t="str">
        <x:v>Tam ad eşleşmesi</x:v>
      </x:c>
      <x:c r="AJ101" s="133" t="str">
        <x:v>Yüksek</x:v>
      </x:c>
      <x:c r="AK101" s="135"/>
      <x:c r="AL101" s="133" t="str">
        <x:v>Point</x:v>
      </x:c>
      <x:c r="AM101" s="133" t="str">
        <x:v>{"type": "Point", "coordinates": [34.651, 41.106]}</x:v>
      </x:c>
      <x:c r="AN101" s="133" t="str">
        <x:v>Trafo merkezi / elektrik bağlantı noktası (yaklaşık)</x:v>
      </x:c>
      <x:c r="AO101" s="133"/>
      <x:c r="AP101" s="133"/>
      <x:c r="AQ101" s="134"/>
      <x:c r="AR101" s="134"/>
      <x:c r="AS101" s="133"/>
      <x:c r="AT101" s="133" t="str">
        <x:v>https://cbs1.tarimorman.gov.tr/server/rest/services/TATUS/FeatureServer/7/query?where=HAVZA_ID%3D15+AND+%28BarajAdi%3D%27KARGI+KIZILIRMAK%27%29&amp;outFields=OBJECTID%2CBarajAdi%2CHavzaAdi%2CHAVZA_ID%2CIl&amp;returnGeometry=true&amp;outSR=4326&amp;f=geojson</x:v>
      </x:c>
      <x:c r="AU101" s="133" t="str">
        <x:v>Kızılırmak</x:v>
      </x:c>
      <x:c r="AV101" s="133" t="str">
        <x:v>Polyline / LineString</x:v>
      </x:c>
      <x:c r="AW101" s="133" t="str">
        <x:v>https://cbs1.tarimorman.gov.tr/server/rest/services/TATUS/FeatureServer/8/query?where=HAVZA_ID%3D15&amp;geometry=34.651000%2C41.106000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1" s="133" t="str">
        <x:v>Havza ana akarsuyu ön-eşleme; TATUS spatial query ile doğrulanmalı</x:v>
      </x:c>
      <x:c r="AY101" s="133" t="str">
        <x:v>Polygon</x:v>
      </x:c>
      <x:c r="AZ101" s="133" t="str">
        <x:v>https://cbs1.tarimorman.gov.tr/server/rest/services/TATUS/FeatureServer/9/query?where=1%3D1&amp;geometry=34.651000%2C41.106000&amp;geometryType=esriGeometryPoint&amp;inSR=4326&amp;spatialRel=esriSpatialRelIntersects&amp;outFields=%2A&amp;returnGeometry=true&amp;outSR=4326&amp;resultRecordCount=5&amp;f=geojson</x:v>
      </x:c>
      <x:c r="BA101" s="133" t="str">
        <x:v>Santral popup: Su alanını göster</x:v>
      </x:c>
      <x:c r="BB101" s="133" t="str">
        <x:v>Orta-Düşük</x:v>
      </x:c>
      <x:c r="BC101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02" ht="30" customHeight="1">
      <x:c r="A102" s="100" t="n">
        <x:v>99</x:v>
      </x:c>
      <x:c r="B102" s="32" t="str">
        <x:v>KARGILIK HES</x:v>
      </x:c>
      <x:c r="C102" s="32" t="str">
        <x:v>Ceyhan</x:v>
      </x:c>
      <x:c r="D102" s="32" t="str">
        <x:v>Ceyhan</x:v>
      </x:c>
      <x:c r="E102" s="34" t="n">
        <x:v>20</x:v>
      </x:c>
      <x:c r="F102" s="32" t="str">
        <x:v>https://cbs1.tarimorman.gov.tr/server/rest/services/TATUS/FeatureServer/11/query?where=ID%3D20&amp;outFields=ID%2CHAVZA_ADI%2CALAN_KM2&amp;returnGeometry=true&amp;outSR=4326&amp;f=geojson</x:v>
      </x:c>
      <x:c r="G102" s="32" t="str">
        <x:v>KARGILIK</x:v>
      </x:c>
      <x:c r="H102" s="32" t="str">
        <x:v>KAHRAMANMARAŞ</x:v>
      </x:c>
      <x:c r="I102" s="36" t="n">
        <x:v>37.519</x:v>
      </x:c>
      <x:c r="J102" s="36" t="n">
        <x:v>36.239</x:v>
      </x:c>
      <x:c r="K102" s="38" t="n">
        <x:v>382.5</x:v>
      </x:c>
      <x:c r="L102" s="38" t="n">
        <x:v>379</x:v>
      </x:c>
      <x:c r="M102" s="32"/>
      <x:c r="N102" s="38" t="n">
        <x:v>23.9</x:v>
      </x:c>
      <x:c r="O102" s="38"/>
      <x:c r="P102" s="38"/>
      <x:c r="Q102" s="38"/>
      <x:c r="R102" s="38"/>
      <x:c r="S102" s="38"/>
      <x:c r="T102" s="40"/>
      <x:c r="U102" s="32" t="str">
        <x:v>eşleşme yok</x:v>
      </x:c>
      <x:c r="V102" s="32" t="str">
        <x:v>C</x:v>
      </x:c>
      <x:c r="W102" s="32" t="str">
        <x:v>https://www.tektug.com/projects/kargilik-hes-24-mw/</x:v>
      </x:c>
      <x:c r="X102" s="32" t="str">
        <x:v>https://openinframap.org/stats/area/Turkey/plants?source=hydro</x:v>
      </x:c>
      <x:c r="Y102" s="32" t="str">
        <x:v>hes_MERKEZI_LISTESI.xlsx — trafo merkezi koordinatı (yaklaşık)</x:v>
      </x:c>
      <x:c r="Z102" s="32" t="str">
        <x:v>10</x:v>
      </x:c>
      <x:c r="AA102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02" s="133" t="str">
        <x:v>Trafo merkezi koordinatı ile tamamlandı</x:v>
      </x:c>
      <x:c r="AC102" s="133" t="str">
        <x:v>Trafo merkezi / elektrik bağlantı noktası (yaklaşık)</x:v>
      </x:c>
      <x:c r="AD102" s="133" t="n">
        <x:v>313</x:v>
      </x:c>
      <x:c r="AE102" s="133" t="str">
        <x:v>KARGILIK HES</x:v>
      </x:c>
      <x:c r="AF102" s="133" t="str">
        <x:v>Kahramanmaraş</x:v>
      </x:c>
      <x:c r="AG102" s="134" t="n">
        <x:v>37.519</x:v>
      </x:c>
      <x:c r="AH102" s="134" t="n">
        <x:v>36.239</x:v>
      </x:c>
      <x:c r="AI102" s="133" t="str">
        <x:v>Tam ad eşleşmesi</x:v>
      </x:c>
      <x:c r="AJ102" s="133" t="str">
        <x:v>Yüksek</x:v>
      </x:c>
      <x:c r="AK102" s="135"/>
      <x:c r="AL102" s="133" t="str">
        <x:v>Point</x:v>
      </x:c>
      <x:c r="AM102" s="133" t="str">
        <x:v>{"type": "Point", "coordinates": [36.239, 37.519]}</x:v>
      </x:c>
      <x:c r="AN102" s="133" t="str">
        <x:v>Trafo merkezi / elektrik bağlantı noktası (yaklaşık)</x:v>
      </x:c>
      <x:c r="AO102" s="133"/>
      <x:c r="AP102" s="133"/>
      <x:c r="AQ102" s="134"/>
      <x:c r="AR102" s="134"/>
      <x:c r="AS102" s="133"/>
      <x:c r="AT102" s="133" t="str">
        <x:v>https://cbs1.tarimorman.gov.tr/server/rest/services/TATUS/FeatureServer/7/query?where=HAVZA_ID%3D20+AND+%28BarajAdi%3D%27KARGILIK%27%29&amp;outFields=OBJECTID%2CBarajAdi%2CHavzaAdi%2CHAVZA_ID%2CIl&amp;returnGeometry=true&amp;outSR=4326&amp;f=geojson</x:v>
      </x:c>
      <x:c r="AU102" s="133" t="str">
        <x:v>Ceyhan</x:v>
      </x:c>
      <x:c r="AV102" s="133" t="str">
        <x:v>Polyline / LineString</x:v>
      </x:c>
      <x:c r="AW102" s="133" t="str">
        <x:v>https://cbs1.tarimorman.gov.tr/server/rest/services/TATUS/FeatureServer/8/query?where=HAVZA_ID%3D20&amp;geometry=36.239000%2C37.519000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2" s="133" t="str">
        <x:v>Havza ana akarsuyu ön-eşleme; TATUS spatial query ile doğrulanmalı</x:v>
      </x:c>
      <x:c r="AY102" s="133" t="str">
        <x:v>Polygon</x:v>
      </x:c>
      <x:c r="AZ102" s="133" t="str">
        <x:v>https://cbs1.tarimorman.gov.tr/server/rest/services/TATUS/FeatureServer/9/query?where=1%3D1&amp;geometry=36.239000%2C37.519000&amp;geometryType=esriGeometryPoint&amp;inSR=4326&amp;spatialRel=esriSpatialRelIntersects&amp;outFields=%2A&amp;returnGeometry=true&amp;outSR=4326&amp;resultRecordCount=5&amp;f=geojson</x:v>
      </x:c>
      <x:c r="BA102" s="133" t="str">
        <x:v>Santral popup: Su alanını göster</x:v>
      </x:c>
      <x:c r="BB102" s="133" t="str">
        <x:v>Orta-Düşük</x:v>
      </x:c>
      <x:c r="BC10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03" ht="30" customHeight="1">
      <x:c r="A103" s="100" t="n">
        <x:v>100</x:v>
      </x:c>
      <x:c r="B103" s="32" t="str">
        <x:v>KARKAMIŞ HES</x:v>
      </x:c>
      <x:c r="C103" s="32" t="str">
        <x:v>Fırat Dicle</x:v>
      </x:c>
      <x:c r="D103" s="32" t="str">
        <x:v>Fırat-Dicle</x:v>
      </x:c>
      <x:c r="E103" s="34" t="n">
        <x:v>21</x:v>
      </x:c>
      <x:c r="F103" s="32" t="str">
        <x:v>https://cbs1.tarimorman.gov.tr/server/rest/services/TATUS/FeatureServer/11/query?where=ID%3D21&amp;outFields=ID%2CHAVZA_ADI%2CALAN_KM2&amp;returnGeometry=true&amp;outSR=4326&amp;f=geojson</x:v>
      </x:c>
      <x:c r="G103" s="32" t="str">
        <x:v>KARKAMIŞ</x:v>
      </x:c>
      <x:c r="H103" s="32" t="str">
        <x:v>GAZİANTEP</x:v>
      </x:c>
      <x:c r="I103" s="36" t="n">
        <x:v>36.871</x:v>
      </x:c>
      <x:c r="J103" s="36" t="n">
        <x:v>38.027</x:v>
      </x:c>
      <x:c r="K103" s="38" t="n">
        <x:v>340</x:v>
      </x:c>
      <x:c r="L103" s="38" t="n">
        <x:v>336</x:v>
      </x:c>
      <x:c r="M103" s="32"/>
      <x:c r="N103" s="38" t="n">
        <x:v>189</x:v>
      </x:c>
      <x:c r="O103" s="38"/>
      <x:c r="P103" s="38"/>
      <x:c r="Q103" s="38"/>
      <x:c r="R103" s="38"/>
      <x:c r="S103" s="38"/>
      <x:c r="T103" s="40"/>
      <x:c r="U103" s="32" t="str">
        <x:v>eşleşme yok</x:v>
      </x:c>
      <x:c r="V103" s="32" t="str">
        <x:v>C</x:v>
      </x:c>
      <x:c r="W103" s="32" t="str">
        <x:v>https://www.enerjiatlasi.com/hidroelektrik/?v=1.0.24</x:v>
      </x:c>
      <x:c r="X103" s="32" t="str">
        <x:v>https://openinframap.org/stats/area/Turkey/plants?source=hydro</x:v>
      </x:c>
      <x:c r="Y103" s="32" t="str">
        <x:v>hes_MERKEZI_LISTESI.xlsx — trafo merkezi koordinatı (yaklaşık)</x:v>
      </x:c>
      <x:c r="Z103" s="32" t="str">
        <x:v>10</x:v>
      </x:c>
      <x:c r="AA103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03" s="133" t="str">
        <x:v>Trafo merkezi koordinatı ile tamamlandı</x:v>
      </x:c>
      <x:c r="AC103" s="133" t="str">
        <x:v>Trafo merkezi / elektrik bağlantı noktası (yaklaşık)</x:v>
      </x:c>
      <x:c r="AD103" s="133" t="n">
        <x:v>665</x:v>
      </x:c>
      <x:c r="AE103" s="133" t="str">
        <x:v>KARKAMIŞ HES</x:v>
      </x:c>
      <x:c r="AF103" s="133" t="str">
        <x:v>Gaziantep</x:v>
      </x:c>
      <x:c r="AG103" s="134" t="n">
        <x:v>36.871</x:v>
      </x:c>
      <x:c r="AH103" s="134" t="n">
        <x:v>38.027</x:v>
      </x:c>
      <x:c r="AI103" s="133" t="str">
        <x:v>Tam ad eşleşmesi</x:v>
      </x:c>
      <x:c r="AJ103" s="133" t="str">
        <x:v>Yüksek</x:v>
      </x:c>
      <x:c r="AK103" s="135"/>
      <x:c r="AL103" s="133" t="str">
        <x:v>Point</x:v>
      </x:c>
      <x:c r="AM103" s="133" t="str">
        <x:v>{"type": "Point", "coordinates": [38.027, 36.871]}</x:v>
      </x:c>
      <x:c r="AN103" s="133" t="str">
        <x:v>Trafo merkezi / elektrik bağlantı noktası (yaklaşık)</x:v>
      </x:c>
      <x:c r="AO103" s="133"/>
      <x:c r="AP103" s="133"/>
      <x:c r="AQ103" s="134"/>
      <x:c r="AR103" s="134"/>
      <x:c r="AS103" s="133"/>
      <x:c r="AT103" s="133" t="str">
        <x:v>https://cbs1.tarimorman.gov.tr/server/rest/services/TATUS/FeatureServer/7/query?where=HAVZA_ID%3D21+AND+%28BarajAdi%3D%27KARKAMI%C5%9E%27%29&amp;outFields=OBJECTID%2CBarajAdi%2CHavzaAdi%2CHAVZA_ID%2CIl&amp;returnGeometry=true&amp;outSR=4326&amp;f=geojson</x:v>
      </x:c>
      <x:c r="AU103" s="133"/>
      <x:c r="AV103" s="133" t="str">
        <x:v>Polyline / LineString</x:v>
      </x:c>
      <x:c r="AW103" s="133" t="str">
        <x:v>https://cbs1.tarimorman.gov.tr/server/rest/services/TATUS/FeatureServer/8/query?where=HAVZA_ID%3D21&amp;geometry=38.027000%2C36.871000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3" s="133" t="str">
        <x:v>TATUS spatial query hazır; en yakın/uygun LineString seçilmeli</x:v>
      </x:c>
      <x:c r="AY103" s="133" t="str">
        <x:v>Polygon</x:v>
      </x:c>
      <x:c r="AZ103" s="133" t="str">
        <x:v>https://cbs1.tarimorman.gov.tr/server/rest/services/TATUS/FeatureServer/9/query?where=1%3D1&amp;geometry=38.027000%2C36.871000&amp;geometryType=esriGeometryPoint&amp;inSR=4326&amp;spatialRel=esriSpatialRelIntersects&amp;outFields=%2A&amp;returnGeometry=true&amp;outSR=4326&amp;resultRecordCount=5&amp;f=geojson</x:v>
      </x:c>
      <x:c r="BA103" s="133" t="str">
        <x:v>Santral popup: Su alanını göster</x:v>
      </x:c>
      <x:c r="BB103" s="133" t="str">
        <x:v>Orta-Düşük</x:v>
      </x:c>
      <x:c r="BC103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04" ht="30" customHeight="1">
      <x:c r="A104" s="100" t="n">
        <x:v>101</x:v>
      </x:c>
      <x:c r="B104" s="32" t="str">
        <x:v>KARTALKAYA HES</x:v>
      </x:c>
      <x:c r="C104" s="32" t="str">
        <x:v>Ceyhan</x:v>
      </x:c>
      <x:c r="D104" s="32" t="str">
        <x:v>Ceyhan</x:v>
      </x:c>
      <x:c r="E104" s="34" t="n">
        <x:v>20</x:v>
      </x:c>
      <x:c r="F104" s="32" t="str">
        <x:v>https://cbs1.tarimorman.gov.tr/server/rest/services/TATUS/FeatureServer/11/query?where=ID%3D20&amp;outFields=ID%2CHAVZA_ADI%2CALAN_KM2&amp;returnGeometry=true&amp;outSR=4326&amp;f=geojson</x:v>
      </x:c>
      <x:c r="G104" s="32" t="str">
        <x:v>KARTALKAYA</x:v>
      </x:c>
      <x:c r="H104" s="32" t="str">
        <x:v>KAHRAMANMARAŞ</x:v>
      </x:c>
      <x:c r="I104" s="36"/>
      <x:c r="J104" s="36"/>
      <x:c r="K104" s="38" t="n">
        <x:v>717.48</x:v>
      </x:c>
      <x:c r="L104" s="38" t="n">
        <x:v>685.08</x:v>
      </x:c>
      <x:c r="M104" s="32" t="str">
        <x:v>SIR HES</x:v>
      </x:c>
      <x:c r="N104" s="38" t="n">
        <x:v>8</x:v>
      </x:c>
      <x:c r="O104" s="38" t="n">
        <x:v>19.7</x:v>
      </x:c>
      <x:c r="P104" s="38" t="n">
        <x:v>160.78</x:v>
      </x:c>
      <x:c r="Q104" s="38" t="n">
        <x:v>0</x:v>
      </x:c>
      <x:c r="R104" s="38" t="n">
        <x:v>80.36</x:v>
      </x:c>
      <x:c r="S104" s="38" t="n">
        <x:v>9.16</x:v>
      </x:c>
      <x:c r="T104" s="40" t="n">
        <x:v>46278.81434027778</x:v>
      </x:c>
      <x:c r="U104" s="32" t="str">
        <x:v>exact</x:v>
      </x:c>
      <x:c r="V104" s="32" t="str">
        <x:v>B</x:v>
      </x:c>
      <x:c r="W104" s="32" t="str">
        <x:v>Yüklü Debi_ve_Kurulu_Guc-13092026.xlsx</x:v>
      </x:c>
      <x:c r="X104" s="32" t="str">
        <x:v>Yüklü Debi_ve_Kurulu_Guc-13092026.xlsx</x:v>
      </x:c>
      <x:c r="Y104" s="32"/>
      <x:c r="Z104" s="32" t="str">
        <x:v>SIR HES</x:v>
      </x:c>
      <x:c r="AA104" s="101" t="str">
        <x:v>Koordinat güvenilir açık kaynaktan doğrulanamadı</x:v>
      </x:c>
      <x:c r="AB104" s="133" t="str">
        <x:v>Koordinat eksik</x:v>
      </x:c>
      <x:c r="AC104" s="133" t="str">
        <x:v>—</x:v>
      </x:c>
      <x:c r="AD104" s="133"/>
      <x:c r="AE104" s="133"/>
      <x:c r="AF104" s="133"/>
      <x:c r="AG104" s="134"/>
      <x:c r="AH104" s="134"/>
      <x:c r="AI104" s="133"/>
      <x:c r="AJ104" s="133"/>
      <x:c r="AK104" s="135"/>
      <x:c r="AL104" s="133" t="str">
        <x:v>Point</x:v>
      </x:c>
      <x:c r="AM104" s="133"/>
      <x:c r="AN104" s="133" t="str">
        <x:v>Koordinat yok</x:v>
      </x:c>
      <x:c r="AO104" s="133"/>
      <x:c r="AP104" s="133"/>
      <x:c r="AQ104" s="134"/>
      <x:c r="AR104" s="134"/>
      <x:c r="AS104" s="133"/>
      <x:c r="AT104" s="133" t="str">
        <x:v>https://cbs1.tarimorman.gov.tr/server/rest/services/TATUS/FeatureServer/7/query?where=HAVZA_ID%3D20+AND+%28BarajAdi%3D%27KARTALKAYA%27%29&amp;outFields=OBJECTID%2CBarajAdi%2CHavzaAdi%2CHAVZA_ID%2CIl&amp;returnGeometry=true&amp;outSR=4326&amp;f=geojson</x:v>
      </x:c>
      <x:c r="AU104" s="133" t="str">
        <x:v>Ceyhan</x:v>
      </x:c>
      <x:c r="AV104" s="133" t="str">
        <x:v>Polyline / LineString</x:v>
      </x:c>
      <x:c r="AW104" s="133"/>
      <x:c r="AX104" s="133" t="str">
        <x:v>Havza ana akarsuyu ön-eşleme; TATUS spatial query ile doğrulanmalı</x:v>
      </x:c>
      <x:c r="AY104" s="133" t="str">
        <x:v>Polygon</x:v>
      </x:c>
      <x:c r="AZ104" s="133"/>
      <x:c r="BA104" s="133" t="str">
        <x:v>Santral popup: Su alanını göster</x:v>
      </x:c>
      <x:c r="BB104" s="133" t="str">
        <x:v>Yok</x:v>
      </x:c>
      <x:c r="BC104" s="133" t="str">
        <x:v>TATUS baraj point doğrudan eşleşmesi bu çalışma kitabında çözülmedi; sorgu URL'si eklendi; Koordinat eksik olduğu için akarsu ve su toplama alanı spatial sorgusu üretilemedi</x:v>
      </x:c>
    </x:row>
    <x:row r="105" ht="30" customHeight="1">
      <x:c r="A105" s="100" t="n">
        <x:v>102</x:v>
      </x:c>
      <x:c r="B105" s="32" t="str">
        <x:v>KASIMLAR HES</x:v>
      </x:c>
      <x:c r="C105" s="32" t="str">
        <x:v>Orta Akdeniz</x:v>
      </x:c>
      <x:c r="D105" s="32" t="str">
        <x:v>Antalya</x:v>
      </x:c>
      <x:c r="E105" s="34" t="n">
        <x:v>9</x:v>
      </x:c>
      <x:c r="F105" s="32" t="str">
        <x:v>https://cbs1.tarimorman.gov.tr/server/rest/services/TATUS/FeatureServer/11/query?where=ID%3D9&amp;outFields=ID%2CHAVZA_ADI%2CALAN_KM2&amp;returnGeometry=true&amp;outSR=4326&amp;f=geojson</x:v>
      </x:c>
      <x:c r="G105" s="32" t="str">
        <x:v>KASIMLAR</x:v>
      </x:c>
      <x:c r="H105" s="32" t="str">
        <x:v>ISPARTA</x:v>
      </x:c>
      <x:c r="I105" s="36" t="n">
        <x:v>37.387</x:v>
      </x:c>
      <x:c r="J105" s="36" t="n">
        <x:v>31.218</x:v>
      </x:c>
      <x:c r="K105" s="38" t="n">
        <x:v>828</x:v>
      </x:c>
      <x:c r="L105" s="38" t="n">
        <x:v>792</x:v>
      </x:c>
      <x:c r="M105" s="32"/>
      <x:c r="N105" s="38" t="n">
        <x:v>25</x:v>
      </x:c>
      <x:c r="O105" s="38"/>
      <x:c r="P105" s="38"/>
      <x:c r="Q105" s="38"/>
      <x:c r="R105" s="38"/>
      <x:c r="S105" s="38"/>
      <x:c r="T105" s="40"/>
      <x:c r="U105" s="32" t="str">
        <x:v>eşleşme yok</x:v>
      </x:c>
      <x:c r="V105" s="32" t="str">
        <x:v>C</x:v>
      </x:c>
      <x:c r="W105" s="32" t="str">
        <x:v>https://www.enerjiatlasi.com/hidroelektrik/?v=1.0.24</x:v>
      </x:c>
      <x:c r="X105" s="32" t="str">
        <x:v>https://openinframap.org/stats/area/Turkey/plants?source=hydro</x:v>
      </x:c>
      <x:c r="Y105" s="32" t="str">
        <x:v>hes_MERKEZI_LISTESI.xlsx — trafo merkezi koordinatı (yaklaşık)</x:v>
      </x:c>
      <x:c r="Z105" s="32" t="str">
        <x:v>10</x:v>
      </x:c>
      <x:c r="AA105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05" s="133" t="str">
        <x:v>Trafo merkezi koordinatı ile tamamlandı</x:v>
      </x:c>
      <x:c r="AC105" s="133" t="str">
        <x:v>Trafo merkezi / elektrik bağlantı noktası (yaklaşık)</x:v>
      </x:c>
      <x:c r="AD105" s="133" t="n">
        <x:v>1347</x:v>
      </x:c>
      <x:c r="AE105" s="133" t="str">
        <x:v>KASIMLAR HES</x:v>
      </x:c>
      <x:c r="AF105" s="133" t="str">
        <x:v>Antalya</x:v>
      </x:c>
      <x:c r="AG105" s="134" t="n">
        <x:v>37.387</x:v>
      </x:c>
      <x:c r="AH105" s="134" t="n">
        <x:v>31.218</x:v>
      </x:c>
      <x:c r="AI105" s="133" t="str">
        <x:v>Tam ad eşleşmesi</x:v>
      </x:c>
      <x:c r="AJ105" s="133" t="str">
        <x:v>Yüksek</x:v>
      </x:c>
      <x:c r="AK105" s="135"/>
      <x:c r="AL105" s="133" t="str">
        <x:v>Point</x:v>
      </x:c>
      <x:c r="AM105" s="133" t="str">
        <x:v>{"type": "Point", "coordinates": [31.218, 37.387]}</x:v>
      </x:c>
      <x:c r="AN105" s="133" t="str">
        <x:v>Trafo merkezi / elektrik bağlantı noktası (yaklaşık)</x:v>
      </x:c>
      <x:c r="AO105" s="133"/>
      <x:c r="AP105" s="133"/>
      <x:c r="AQ105" s="134"/>
      <x:c r="AR105" s="134"/>
      <x:c r="AS105" s="133"/>
      <x:c r="AT105" s="133" t="str">
        <x:v>https://cbs1.tarimorman.gov.tr/server/rest/services/TATUS/FeatureServer/7/query?where=HAVZA_ID%3D9+AND+%28BarajAdi%3D%27KASIMLAR%27%29&amp;outFields=OBJECTID%2CBarajAdi%2CHavzaAdi%2CHAVZA_ID%2CIl&amp;returnGeometry=true&amp;outSR=4326&amp;f=geojson</x:v>
      </x:c>
      <x:c r="AU105" s="133"/>
      <x:c r="AV105" s="133" t="str">
        <x:v>Polyline / LineString</x:v>
      </x:c>
      <x:c r="AW105" s="133" t="str">
        <x:v>https://cbs1.tarimorman.gov.tr/server/rest/services/TATUS/FeatureServer/8/query?where=HAVZA_ID%3D9&amp;geometry=31.218000%2C37.387000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5" s="133" t="str">
        <x:v>TATUS spatial query hazır; en yakın/uygun LineString seçilmeli</x:v>
      </x:c>
      <x:c r="AY105" s="133" t="str">
        <x:v>Polygon</x:v>
      </x:c>
      <x:c r="AZ105" s="133" t="str">
        <x:v>https://cbs1.tarimorman.gov.tr/server/rest/services/TATUS/FeatureServer/9/query?where=1%3D1&amp;geometry=31.218000%2C37.387000&amp;geometryType=esriGeometryPoint&amp;inSR=4326&amp;spatialRel=esriSpatialRelIntersects&amp;outFields=%2A&amp;returnGeometry=true&amp;outSR=4326&amp;resultRecordCount=5&amp;f=geojson</x:v>
      </x:c>
      <x:c r="BA105" s="133" t="str">
        <x:v>Santral popup: Su alanını göster</x:v>
      </x:c>
      <x:c r="BB105" s="133" t="str">
        <x:v>Orta-Düşük</x:v>
      </x:c>
      <x:c r="BC105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06" ht="30" customHeight="1">
      <x:c r="A106" s="100" t="n">
        <x:v>103</x:v>
      </x:c>
      <x:c r="B106" s="32" t="str">
        <x:v>KAVŞAKBENDİ HES</x:v>
      </x:c>
      <x:c r="C106" s="32" t="str">
        <x:v>Seyhan</x:v>
      </x:c>
      <x:c r="D106" s="32" t="str">
        <x:v>Seyhan</x:v>
      </x:c>
      <x:c r="E106" s="34" t="n">
        <x:v>18</x:v>
      </x:c>
      <x:c r="F106" s="32" t="str">
        <x:v>https://cbs1.tarimorman.gov.tr/server/rest/services/TATUS/FeatureServer/11/query?where=ID%3D18&amp;outFields=ID%2CHAVZA_ADI%2CALAN_KM2&amp;returnGeometry=true&amp;outSR=4326&amp;f=geojson</x:v>
      </x:c>
      <x:c r="G106" s="32" t="str">
        <x:v>KAVŞAKBENDİ HES</x:v>
      </x:c>
      <x:c r="H106" s="32" t="str">
        <x:v>ADANA</x:v>
      </x:c>
      <x:c r="I106" s="36" t="n">
        <x:v>37.562578</x:v>
      </x:c>
      <x:c r="J106" s="36" t="n">
        <x:v>35.5294</x:v>
      </x:c>
      <x:c r="K106" s="38" t="n">
        <x:v>318</x:v>
      </x:c>
      <x:c r="L106" s="38" t="n">
        <x:v>312</x:v>
      </x:c>
      <x:c r="M106" s="32" t="str">
        <x:v>SANİBEY HES</x:v>
      </x:c>
      <x:c r="N106" s="38" t="n">
        <x:v>185.8</x:v>
      </x:c>
      <x:c r="O106" s="38" t="n">
        <x:v>264.2</x:v>
      </x:c>
      <x:c r="P106" s="38" t="n">
        <x:v>30.19</x:v>
      </x:c>
      <x:c r="Q106" s="38" t="n">
        <x:v>22.63</x:v>
      </x:c>
      <x:c r="R106" s="38" t="n">
        <x:v>3.64</x:v>
      </x:c>
      <x:c r="S106" s="38" t="n">
        <x:v>0.75</x:v>
      </x:c>
      <x:c r="T106" s="40" t="n">
        <x:v>46278.81434027778</x:v>
      </x:c>
      <x:c r="U106" s="32" t="str">
        <x:v>exact</x:v>
      </x:c>
      <x:c r="V106" s="32" t="str">
        <x:v>A</x:v>
      </x:c>
      <x:c r="W106" s="32" t="str">
        <x:v>Yüklü Debi_ve_Kurulu_Guc-13092026.xlsx</x:v>
      </x:c>
      <x:c r="X106" s="32" t="str">
        <x:v>Yüklü Debi_ve_Kurulu_Guc-13092026.xlsx</x:v>
      </x:c>
      <x:c r="Y106" s="32" t="str">
        <x:v>https://turkiyebarajlar.com/baraj/kavsakbendi-hes</x:v>
      </x:c>
      <x:c r="Z106" s="32" t="str">
        <x:v>SANİBEY HES</x:v>
      </x:c>
      <x:c r="AA106" s="101"/>
      <x:c r="AB106" s="133" t="str">
        <x:v>Doğrulanmış koordinat mevcut</x:v>
      </x:c>
      <x:c r="AC106" s="133" t="str">
        <x:v>HES / baraj noktası</x:v>
      </x:c>
      <x:c r="AD106" s="133" t="n">
        <x:v>1098</x:v>
      </x:c>
      <x:c r="AE106" s="133" t="str">
        <x:v>KAVŞAKBENDİ HES</x:v>
      </x:c>
      <x:c r="AF106" s="133" t="str">
        <x:v>Adana</x:v>
      </x:c>
      <x:c r="AG106" s="134" t="n">
        <x:v>37.541</x:v>
      </x:c>
      <x:c r="AH106" s="134" t="n">
        <x:v>35.525</x:v>
      </x:c>
      <x:c r="AI106" s="133" t="str">
        <x:v>Tam ad eşleşmesi</x:v>
      </x:c>
      <x:c r="AJ106" s="133" t="str">
        <x:v>Yüksek</x:v>
      </x:c>
      <x:c r="AK106" s="135" t="n">
        <x:v>2.431</x:v>
      </x:c>
      <x:c r="AL106" s="133" t="str">
        <x:v>Point</x:v>
      </x:c>
      <x:c r="AM106" s="133" t="str">
        <x:v>{"type": "Point", "coordinates": [35.5294, 37.562578]}</x:v>
      </x:c>
      <x:c r="AN106" s="133" t="str">
        <x:v>HES / baraj noktası</x:v>
      </x:c>
      <x:c r="AO106" s="133"/>
      <x:c r="AP106" s="133"/>
      <x:c r="AQ106" s="134"/>
      <x:c r="AR106" s="134"/>
      <x:c r="AS106" s="133"/>
      <x:c r="AT106" s="133" t="str">
        <x:v>https://cbs1.tarimorman.gov.tr/server/rest/services/TATUS/FeatureServer/7/query?where=HAVZA_ID%3D18+AND+%28BarajAdi%3D%27KAV%C5%9EAKBEND%C4%B0+HES%27+OR+BarajAdi%3D%27KAV%C5%9EAKBEND%C4%B0%27%29&amp;outFields=OBJECTID%2CBarajAdi%2CHavzaAdi%2CHAVZA_ID%2CIl&amp;returnGeometry=true&amp;outSR=4326&amp;f=geojson</x:v>
      </x:c>
      <x:c r="AU106" s="133" t="str">
        <x:v>Seyhan</x:v>
      </x:c>
      <x:c r="AV106" s="133" t="str">
        <x:v>Polyline / LineString</x:v>
      </x:c>
      <x:c r="AW106" s="133" t="str">
        <x:v>https://cbs1.tarimorman.gov.tr/server/rest/services/TATUS/FeatureServer/8/query?where=HAVZA_ID%3D18&amp;geometry=35.529400%2C37.562578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6" s="133" t="str">
        <x:v>Havza ana akarsuyu ön-eşleme; TATUS spatial query ile doğrulanmalı</x:v>
      </x:c>
      <x:c r="AY106" s="133" t="str">
        <x:v>Polygon</x:v>
      </x:c>
      <x:c r="AZ106" s="133" t="str">
        <x:v>https://cbs1.tarimorman.gov.tr/server/rest/services/TATUS/FeatureServer/9/query?where=1%3D1&amp;geometry=35.529400%2C37.562578&amp;geometryType=esriGeometryPoint&amp;inSR=4326&amp;spatialRel=esriSpatialRelIntersects&amp;outFields=%2A&amp;returnGeometry=true&amp;outSR=4326&amp;resultRecordCount=5&amp;f=geojson</x:v>
      </x:c>
      <x:c r="BA106" s="133" t="str">
        <x:v>Santral popup: Su alanını göster</x:v>
      </x:c>
      <x:c r="BB106" s="133" t="str">
        <x:v>Yüksek</x:v>
      </x:c>
      <x:c r="BC106" s="133" t="str">
        <x:v>TATUS baraj point doğrudan eşleşmesi bu çalışma kitabında çözülmedi; sorgu URL'si eklendi</x:v>
      </x:c>
    </x:row>
    <x:row r="107" ht="30" customHeight="1">
      <x:c r="A107" s="100" t="n">
        <x:v>104</x:v>
      </x:c>
      <x:c r="B107" s="32" t="str">
        <x:v>KAYAKÖPRÜ HES</x:v>
      </x:c>
      <x:c r="C107" s="32" t="str">
        <x:v>Doğu Karadeniz</x:v>
      </x:c>
      <x:c r="D107" s="32" t="str">
        <x:v>Doğu Karadeniz</x:v>
      </x:c>
      <x:c r="E107" s="34" t="n">
        <x:v>22</x:v>
      </x:c>
      <x:c r="F107" s="32" t="str">
        <x:v>https://cbs1.tarimorman.gov.tr/server/rest/services/TATUS/FeatureServer/11/query?where=ID%3D22&amp;outFields=ID%2CHAVZA_ADI%2CALAN_KM2&amp;returnGeometry=true&amp;outSR=4326&amp;f=geojson</x:v>
      </x:c>
      <x:c r="G107" s="32" t="str">
        <x:v>KAYAKÖPRÜ</x:v>
      </x:c>
      <x:c r="H107" s="32" t="str">
        <x:v>GİRESUN</x:v>
      </x:c>
      <x:c r="I107" s="36" t="n">
        <x:v>40.69</x:v>
      </x:c>
      <x:c r="J107" s="36" t="n">
        <x:v>38.625</x:v>
      </x:c>
      <x:c r="K107" s="38" t="n">
        <x:v>847</x:v>
      </x:c>
      <x:c r="L107" s="38" t="n">
        <x:v>838</x:v>
      </x:c>
      <x:c r="M107" s="32"/>
      <x:c r="N107" s="38" t="n">
        <x:v>38.6</x:v>
      </x:c>
      <x:c r="O107" s="38"/>
      <x:c r="P107" s="38"/>
      <x:c r="Q107" s="38"/>
      <x:c r="R107" s="38"/>
      <x:c r="S107" s="38"/>
      <x:c r="T107" s="40"/>
      <x:c r="U107" s="32" t="str">
        <x:v>eşleşme yok</x:v>
      </x:c>
      <x:c r="V107" s="32" t="str">
        <x:v>C</x:v>
      </x:c>
      <x:c r="W107" s="32" t="str">
        <x:v>https://www.enerjiatlasi.com/hidroelektrik/kayakopru-hes.html</x:v>
      </x:c>
      <x:c r="X107" s="32" t="str">
        <x:v>https://www.enerjiatlasi.com/hidroelektrik/kayakopru-hes.html</x:v>
      </x:c>
      <x:c r="Y107" s="32" t="str">
        <x:v>hes_MERKEZI_LISTESI.xlsx — trafo merkezi koordinatı (yaklaşık)</x:v>
      </x:c>
      <x:c r="Z107" s="32" t="str">
        <x:v>10</x:v>
      </x:c>
      <x:c r="AA107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07" s="133" t="str">
        <x:v>Trafo merkezi koordinatı ile tamamlandı</x:v>
      </x:c>
      <x:c r="AC107" s="133" t="str">
        <x:v>Trafo merkezi / elektrik bağlantı noktası (yaklaşık)</x:v>
      </x:c>
      <x:c r="AD107" s="133" t="n">
        <x:v>884</x:v>
      </x:c>
      <x:c r="AE107" s="133" t="str">
        <x:v>KAYAKÖPRÜ HES</x:v>
      </x:c>
      <x:c r="AF107" s="133" t="str">
        <x:v>Giresun</x:v>
      </x:c>
      <x:c r="AG107" s="134" t="n">
        <x:v>40.69</x:v>
      </x:c>
      <x:c r="AH107" s="134" t="n">
        <x:v>38.625</x:v>
      </x:c>
      <x:c r="AI107" s="133" t="str">
        <x:v>Tam ad eşleşmesi</x:v>
      </x:c>
      <x:c r="AJ107" s="133" t="str">
        <x:v>Yüksek</x:v>
      </x:c>
      <x:c r="AK107" s="135"/>
      <x:c r="AL107" s="133" t="str">
        <x:v>Point</x:v>
      </x:c>
      <x:c r="AM107" s="133" t="str">
        <x:v>{"type": "Point", "coordinates": [38.625, 40.69]}</x:v>
      </x:c>
      <x:c r="AN107" s="133" t="str">
        <x:v>Trafo merkezi / elektrik bağlantı noktası (yaklaşık)</x:v>
      </x:c>
      <x:c r="AO107" s="133"/>
      <x:c r="AP107" s="133"/>
      <x:c r="AQ107" s="134"/>
      <x:c r="AR107" s="134"/>
      <x:c r="AS107" s="133"/>
      <x:c r="AT107" s="133" t="str">
        <x:v>https://cbs1.tarimorman.gov.tr/server/rest/services/TATUS/FeatureServer/7/query?where=HAVZA_ID%3D22+AND+%28BarajAdi%3D%27KAYAK%C3%96PR%C3%9C%27%29&amp;outFields=OBJECTID%2CBarajAdi%2CHavzaAdi%2CHAVZA_ID%2CIl&amp;returnGeometry=true&amp;outSR=4326&amp;f=geojson</x:v>
      </x:c>
      <x:c r="AU107" s="133"/>
      <x:c r="AV107" s="133" t="str">
        <x:v>Polyline / LineString</x:v>
      </x:c>
      <x:c r="AW107" s="133" t="str">
        <x:v>https://cbs1.tarimorman.gov.tr/server/rest/services/TATUS/FeatureServer/8/query?where=HAVZA_ID%3D22&amp;geometry=38.625000%2C40.690000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7" s="133" t="str">
        <x:v>TATUS spatial query hazır; en yakın/uygun LineString seçilmeli</x:v>
      </x:c>
      <x:c r="AY107" s="133" t="str">
        <x:v>Polygon</x:v>
      </x:c>
      <x:c r="AZ107" s="133" t="str">
        <x:v>https://cbs1.tarimorman.gov.tr/server/rest/services/TATUS/FeatureServer/9/query?where=1%3D1&amp;geometry=38.625000%2C40.690000&amp;geometryType=esriGeometryPoint&amp;inSR=4326&amp;spatialRel=esriSpatialRelIntersects&amp;outFields=%2A&amp;returnGeometry=true&amp;outSR=4326&amp;resultRecordCount=5&amp;f=geojson</x:v>
      </x:c>
      <x:c r="BA107" s="133" t="str">
        <x:v>Santral popup: Su alanını göster</x:v>
      </x:c>
      <x:c r="BB107" s="133" t="str">
        <x:v>Orta-Düşük</x:v>
      </x:c>
      <x:c r="BC10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08" ht="30" customHeight="1">
      <x:c r="A108" s="100" t="n">
        <x:v>105</x:v>
      </x:c>
      <x:c r="B108" s="32" t="str">
        <x:v>KEBAN HES</x:v>
      </x:c>
      <x:c r="C108" s="32" t="str">
        <x:v>Fırat Dicle</x:v>
      </x:c>
      <x:c r="D108" s="32" t="str">
        <x:v>Fırat-Dicle</x:v>
      </x:c>
      <x:c r="E108" s="34" t="n">
        <x:v>21</x:v>
      </x:c>
      <x:c r="F108" s="32" t="str">
        <x:v>https://cbs1.tarimorman.gov.tr/server/rest/services/TATUS/FeatureServer/11/query?where=ID%3D21&amp;outFields=ID%2CHAVZA_ADI%2CALAN_KM2&amp;returnGeometry=true&amp;outSR=4326&amp;f=geojson</x:v>
      </x:c>
      <x:c r="G108" s="32" t="str">
        <x:v>KEBAN</x:v>
      </x:c>
      <x:c r="H108" s="32" t="str">
        <x:v>ELAZIĞ</x:v>
      </x:c>
      <x:c r="I108" s="36" t="n">
        <x:v>38.807</x:v>
      </x:c>
      <x:c r="J108" s="36" t="n">
        <x:v>38.754</x:v>
      </x:c>
      <x:c r="K108" s="38" t="n">
        <x:v>845</x:v>
      </x:c>
      <x:c r="L108" s="38" t="n">
        <x:v>820</x:v>
      </x:c>
      <x:c r="M108" s="32" t="str">
        <x:v>KARAKAYA HES DİYARBAKIR</x:v>
      </x:c>
      <x:c r="N108" s="38" t="n">
        <x:v>1330</x:v>
      </x:c>
      <x:c r="O108" s="38"/>
      <x:c r="P108" s="38"/>
      <x:c r="Q108" s="38"/>
      <x:c r="R108" s="38"/>
      <x:c r="S108" s="38"/>
      <x:c r="T108" s="40"/>
      <x:c r="U108" s="32" t="str">
        <x:v>eşleşme yok</x:v>
      </x:c>
      <x:c r="V108" s="32" t="str">
        <x:v>C</x:v>
      </x:c>
      <x:c r="W108" s="32" t="str">
        <x:v>https://openinframap.org/stats/area/Turkey/plants?source=hydro</x:v>
      </x:c>
      <x:c r="X108" s="32" t="str">
        <x:v>https://openinframap.org/stats/area/Turkey/plants?source=hydro</x:v>
      </x:c>
      <x:c r="Y108" s="32" t="str">
        <x:v>hes_MERKEZI_LISTESI.xlsx — trafo merkezi koordinatı (yaklaşık)</x:v>
      </x:c>
      <x:c r="Z108" s="32" t="str">
        <x:v>KARAKAYA HES DİYARBAKIR</x:v>
      </x:c>
      <x:c r="AA108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08" s="133" t="str">
        <x:v>Trafo merkezi koordinatı ile tamamlandı</x:v>
      </x:c>
      <x:c r="AC108" s="133" t="str">
        <x:v>Trafo merkezi / elektrik bağlantı noktası (yaklaşık)</x:v>
      </x:c>
      <x:c r="AD108" s="133" t="n">
        <x:v>857</x:v>
      </x:c>
      <x:c r="AE108" s="133" t="str">
        <x:v>KEBAN HES</x:v>
      </x:c>
      <x:c r="AF108" s="133" t="str">
        <x:v>Elazığ</x:v>
      </x:c>
      <x:c r="AG108" s="134" t="n">
        <x:v>38.807</x:v>
      </x:c>
      <x:c r="AH108" s="134" t="n">
        <x:v>38.754</x:v>
      </x:c>
      <x:c r="AI108" s="133" t="str">
        <x:v>Tam ad eşleşmesi</x:v>
      </x:c>
      <x:c r="AJ108" s="133" t="str">
        <x:v>Yüksek</x:v>
      </x:c>
      <x:c r="AK108" s="135"/>
      <x:c r="AL108" s="133" t="str">
        <x:v>Point</x:v>
      </x:c>
      <x:c r="AM108" s="133" t="str">
        <x:v>{"type": "Point", "coordinates": [38.754, 38.807]}</x:v>
      </x:c>
      <x:c r="AN108" s="133" t="str">
        <x:v>Trafo merkezi / elektrik bağlantı noktası (yaklaşık)</x:v>
      </x:c>
      <x:c r="AO108" s="133"/>
      <x:c r="AP108" s="133"/>
      <x:c r="AQ108" s="134"/>
      <x:c r="AR108" s="134"/>
      <x:c r="AS108" s="133"/>
      <x:c r="AT108" s="133" t="str">
        <x:v>https://cbs1.tarimorman.gov.tr/server/rest/services/TATUS/FeatureServer/7/query?where=HAVZA_ID%3D21+AND+%28BarajAdi%3D%27KEBAN%27%29&amp;outFields=OBJECTID%2CBarajAdi%2CHavzaAdi%2CHAVZA_ID%2CIl&amp;returnGeometry=true&amp;outSR=4326&amp;f=geojson</x:v>
      </x:c>
      <x:c r="AU108" s="133"/>
      <x:c r="AV108" s="133" t="str">
        <x:v>Polyline / LineString</x:v>
      </x:c>
      <x:c r="AW108" s="133" t="str">
        <x:v>https://cbs1.tarimorman.gov.tr/server/rest/services/TATUS/FeatureServer/8/query?where=HAVZA_ID%3D21&amp;geometry=38.754000%2C38.807000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8" s="133" t="str">
        <x:v>TATUS spatial query hazır; en yakın/uygun LineString seçilmeli</x:v>
      </x:c>
      <x:c r="AY108" s="133" t="str">
        <x:v>Polygon</x:v>
      </x:c>
      <x:c r="AZ108" s="133" t="str">
        <x:v>https://cbs1.tarimorman.gov.tr/server/rest/services/TATUS/FeatureServer/9/query?where=1%3D1&amp;geometry=38.754000%2C38.807000&amp;geometryType=esriGeometryPoint&amp;inSR=4326&amp;spatialRel=esriSpatialRelIntersects&amp;outFields=%2A&amp;returnGeometry=true&amp;outSR=4326&amp;resultRecordCount=5&amp;f=geojson</x:v>
      </x:c>
      <x:c r="BA108" s="133" t="str">
        <x:v>Santral popup: Su alanını göster</x:v>
      </x:c>
      <x:c r="BB108" s="133" t="str">
        <x:v>Orta-Düşük</x:v>
      </x:c>
      <x:c r="BC108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09" ht="30" customHeight="1">
      <x:c r="A109" s="100" t="n">
        <x:v>106</x:v>
      </x:c>
      <x:c r="B109" s="32" t="str">
        <x:v>KEMER HES</x:v>
      </x:c>
      <x:c r="C109" s="32" t="str">
        <x:v>Büyük Menderes</x:v>
      </x:c>
      <x:c r="D109" s="32" t="str">
        <x:v>Büyük Menderes</x:v>
      </x:c>
      <x:c r="E109" s="34" t="n">
        <x:v>7</x:v>
      </x:c>
      <x:c r="F109" s="32" t="str">
        <x:v>https://cbs1.tarimorman.gov.tr/server/rest/services/TATUS/FeatureServer/11/query?where=ID%3D7&amp;outFields=ID%2CHAVZA_ADI%2CALAN_KM2&amp;returnGeometry=true&amp;outSR=4326&amp;f=geojson</x:v>
      </x:c>
      <x:c r="G109" s="32" t="str">
        <x:v>KEMER</x:v>
      </x:c>
      <x:c r="H109" s="32" t="str">
        <x:v>AYDIN</x:v>
      </x:c>
      <x:c r="I109" s="36" t="n">
        <x:v>37.57204</x:v>
      </x:c>
      <x:c r="J109" s="36" t="n">
        <x:v>28.5249</x:v>
      </x:c>
      <x:c r="K109" s="38" t="n">
        <x:v>292.5</x:v>
      </x:c>
      <x:c r="L109" s="38" t="n">
        <x:v>248.65</x:v>
      </x:c>
      <x:c r="M109" s="32"/>
      <x:c r="N109" s="38" t="n">
        <x:v>48</x:v>
      </x:c>
      <x:c r="O109" s="38" t="n">
        <x:v>66.6</x:v>
      </x:c>
      <x:c r="P109" s="38" t="n">
        <x:v>413.97</x:v>
      </x:c>
      <x:c r="Q109" s="38" t="n">
        <x:v>45.66</x:v>
      </x:c>
      <x:c r="R109" s="38" t="n">
        <x:v>91.21</x:v>
      </x:c>
      <x:c r="S109" s="38" t="n">
        <x:v>16.41</x:v>
      </x:c>
      <x:c r="T109" s="40" t="n">
        <x:v>46278.81434027778</x:v>
      </x:c>
      <x:c r="U109" s="32" t="str">
        <x:v>exact</x:v>
      </x:c>
      <x:c r="V109" s="32" t="str">
        <x:v>A</x:v>
      </x:c>
      <x:c r="W109" s="32" t="str">
        <x:v>Yüklü Debi_ve_Kurulu_Guc-13092026.xlsx</x:v>
      </x:c>
      <x:c r="X109" s="32" t="str">
        <x:v>Yüklü Debi_ve_Kurulu_Guc-13092026.xlsx</x:v>
      </x:c>
      <x:c r="Y109" s="32" t="str">
        <x:v>https://cbs1.tarimorman.gov.tr/server/rest/services/TATUS/FeatureServer/7</x:v>
      </x:c>
      <x:c r="Z109" s="32" t="str">
        <x:v>10</x:v>
      </x:c>
      <x:c r="AA109" s="101" t="str">
        <x:v>Kaskat alanında kaynak değeri '10' (belirsiz/sentinel)</x:v>
      </x:c>
      <x:c r="AB109" s="133" t="str">
        <x:v>Doğrulanmış koordinat mevcut</x:v>
      </x:c>
      <x:c r="AC109" s="133" t="str">
        <x:v>HES / baraj noktası</x:v>
      </x:c>
      <x:c r="AD109" s="133" t="n">
        <x:v>435</x:v>
      </x:c>
      <x:c r="AE109" s="133" t="str">
        <x:v>KEMER HES</x:v>
      </x:c>
      <x:c r="AF109" s="133" t="str">
        <x:v>Aydın</x:v>
      </x:c>
      <x:c r="AG109" s="134" t="n">
        <x:v>37.573</x:v>
      </x:c>
      <x:c r="AH109" s="134" t="n">
        <x:v>28.523</x:v>
      </x:c>
      <x:c r="AI109" s="133" t="str">
        <x:v>Tam ad eşleşmesi</x:v>
      </x:c>
      <x:c r="AJ109" s="133" t="str">
        <x:v>Yüksek</x:v>
      </x:c>
      <x:c r="AK109" s="135" t="n">
        <x:v>0.199</x:v>
      </x:c>
      <x:c r="AL109" s="133" t="str">
        <x:v>Point</x:v>
      </x:c>
      <x:c r="AM109" s="133" t="str">
        <x:v>{"type": "Point", "coordinates": [28.5249, 37.57204]}</x:v>
      </x:c>
      <x:c r="AN109" s="133" t="str">
        <x:v>TATUS Baraj Gözlem Point</x:v>
      </x:c>
      <x:c r="AO109" s="133" t="str">
        <x:v>KEMER</x:v>
      </x:c>
      <x:c r="AP109" s="133" t="n">
        <x:v>1</x:v>
      </x:c>
      <x:c r="AQ109" s="134" t="n">
        <x:v>37.57204</x:v>
      </x:c>
      <x:c r="AR109" s="134" t="n">
        <x:v>28.5249</x:v>
      </x:c>
      <x:c r="AS109" s="133" t="str">
        <x:v>{"type": "Point", "coordinates": [28.5249, 37.57204]}</x:v>
      </x:c>
      <x:c r="AT109" s="133" t="str">
        <x:v>https://cbs1.tarimorman.gov.tr/server/rest/services/TATUS/FeatureServer/7/query?where=HAVZA_ID%3D7+AND+%28BarajAdi%3D%27KEMER%27%29&amp;outFields=OBJECTID%2CBarajAdi%2CHavzaAdi%2CHAVZA_ID%2CIl&amp;returnGeometry=true&amp;outSR=4326&amp;f=geojson</x:v>
      </x:c>
      <x:c r="AU109" s="133" t="str">
        <x:v>Büyük Menderes</x:v>
      </x:c>
      <x:c r="AV109" s="133" t="str">
        <x:v>Polyline / LineString</x:v>
      </x:c>
      <x:c r="AW109" s="133" t="str">
        <x:v>https://cbs1.tarimorman.gov.tr/server/rest/services/TATUS/FeatureServer/8/query?where=HAVZA_ID%3D7&amp;geometry=28.524900%2C37.572040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09" s="133" t="str">
        <x:v>Havza ana akarsuyu ön-eşleme; TATUS spatial query ile doğrulanmalı</x:v>
      </x:c>
      <x:c r="AY109" s="133" t="str">
        <x:v>Polygon</x:v>
      </x:c>
      <x:c r="AZ109" s="133" t="str">
        <x:v>https://cbs1.tarimorman.gov.tr/server/rest/services/TATUS/FeatureServer/9/query?where=1%3D1&amp;geometry=28.524900%2C37.572040&amp;geometryType=esriGeometryPoint&amp;inSR=4326&amp;spatialRel=esriSpatialRelIntersects&amp;outFields=%2A&amp;returnGeometry=true&amp;outSR=4326&amp;resultRecordCount=5&amp;f=geojson</x:v>
      </x:c>
      <x:c r="BA109" s="133" t="str">
        <x:v>Santral popup: Su alanını göster</x:v>
      </x:c>
      <x:c r="BB109" s="133" t="str">
        <x:v>Yüksek</x:v>
      </x:c>
      <x:c r="BC109" s="133"/>
    </x:row>
    <x:row r="110" ht="30" customHeight="1">
      <x:c r="A110" s="100" t="n">
        <x:v>107</x:v>
      </x:c>
      <x:c r="B110" s="32" t="str">
        <x:v>KESİKKÖPRÜ</x:v>
      </x:c>
      <x:c r="C110" s="32" t="str">
        <x:v>Kızılırmak</x:v>
      </x:c>
      <x:c r="D110" s="32" t="str">
        <x:v>Kızılırmak</x:v>
      </x:c>
      <x:c r="E110" s="34" t="n">
        <x:v>15</x:v>
      </x:c>
      <x:c r="F110" s="32" t="str">
        <x:v>https://cbs1.tarimorman.gov.tr/server/rest/services/TATUS/FeatureServer/11/query?where=ID%3D15&amp;outFields=ID%2CHAVZA_ADI%2CALAN_KM2&amp;returnGeometry=true&amp;outSR=4326&amp;f=geojson</x:v>
      </x:c>
      <x:c r="G110" s="32" t="str">
        <x:v>KESİKKÖPRÜ</x:v>
      </x:c>
      <x:c r="H110" s="32" t="str">
        <x:v>ANKARA</x:v>
      </x:c>
      <x:c r="I110" s="36" t="n">
        <x:v>39.39565</x:v>
      </x:c>
      <x:c r="J110" s="36" t="n">
        <x:v>33.42084</x:v>
      </x:c>
      <x:c r="K110" s="38" t="n">
        <x:v>785.55</x:v>
      </x:c>
      <x:c r="L110" s="38" t="n">
        <x:v>770.9</x:v>
      </x:c>
      <x:c r="M110" s="32" t="str">
        <x:v>KAPULUKAYA HES</x:v>
      </x:c>
      <x:c r="N110" s="38" t="n">
        <x:v>76</x:v>
      </x:c>
      <x:c r="O110" s="38" t="n">
        <x:v>110</x:v>
      </x:c>
      <x:c r="P110" s="38" t="n">
        <x:v>89.78</x:v>
      </x:c>
      <x:c r="Q110" s="38" t="n">
        <x:v>32.45</x:v>
      </x:c>
      <x:c r="R110" s="38" t="n">
        <x:v>55.54</x:v>
      </x:c>
      <x:c r="S110" s="38" t="n">
        <x:v>5.18</x:v>
      </x:c>
      <x:c r="T110" s="40" t="n">
        <x:v>46278.81434027778</x:v>
      </x:c>
      <x:c r="U110" s="32" t="str">
        <x:v>exact</x:v>
      </x:c>
      <x:c r="V110" s="32" t="str">
        <x:v>A</x:v>
      </x:c>
      <x:c r="W110" s="32" t="str">
        <x:v>Yüklü Debi_ve_Kurulu_Guc-13092026.xlsx</x:v>
      </x:c>
      <x:c r="X110" s="32" t="str">
        <x:v>Yüklü Debi_ve_Kurulu_Guc-13092026.xlsx</x:v>
      </x:c>
      <x:c r="Y110" s="32" t="str">
        <x:v>https://cbs1.tarimorman.gov.tr/server/rest/services/TATUS/FeatureServer/7</x:v>
      </x:c>
      <x:c r="Z110" s="32" t="str">
        <x:v>KAPULUKAYA HES</x:v>
      </x:c>
      <x:c r="AA110" s="101"/>
      <x:c r="AB110" s="133" t="str">
        <x:v>Doğrulanmış koordinat mevcut</x:v>
      </x:c>
      <x:c r="AC110" s="133" t="str">
        <x:v>HES / baraj noktası</x:v>
      </x:c>
      <x:c r="AD110" s="133" t="n">
        <x:v>916</x:v>
      </x:c>
      <x:c r="AE110" s="133" t="str">
        <x:v>KESİKKÖPRÜ HES</x:v>
      </x:c>
      <x:c r="AF110" s="133" t="str">
        <x:v>Ankara</x:v>
      </x:c>
      <x:c r="AG110" s="134" t="n">
        <x:v>39.397</x:v>
      </x:c>
      <x:c r="AH110" s="134" t="n">
        <x:v>33.422</x:v>
      </x:c>
      <x:c r="AI110" s="133" t="str">
        <x:v>Tam ad eşleşmesi</x:v>
      </x:c>
      <x:c r="AJ110" s="133" t="str">
        <x:v>Yüksek</x:v>
      </x:c>
      <x:c r="AK110" s="135" t="n">
        <x:v>0.18</x:v>
      </x:c>
      <x:c r="AL110" s="133" t="str">
        <x:v>Point</x:v>
      </x:c>
      <x:c r="AM110" s="133" t="str">
        <x:v>{"type": "Point", "coordinates": [33.42084, 39.39565]}</x:v>
      </x:c>
      <x:c r="AN110" s="133" t="str">
        <x:v>TATUS Baraj Gözlem Point</x:v>
      </x:c>
      <x:c r="AO110" s="133" t="str">
        <x:v>KESİKKÖPRÜ</x:v>
      </x:c>
      <x:c r="AP110" s="133" t="n">
        <x:v>1</x:v>
      </x:c>
      <x:c r="AQ110" s="134" t="n">
        <x:v>39.39565</x:v>
      </x:c>
      <x:c r="AR110" s="134" t="n">
        <x:v>33.42084</x:v>
      </x:c>
      <x:c r="AS110" s="133" t="str">
        <x:v>{"type": "Point", "coordinates": [33.42084, 39.39565]}</x:v>
      </x:c>
      <x:c r="AT110" s="133" t="str">
        <x:v>https://cbs1.tarimorman.gov.tr/server/rest/services/TATUS/FeatureServer/7/query?where=HAVZA_ID%3D15+AND+%28BarajAdi%3D%27KES%C4%B0KK%C3%96PR%C3%9C%27%29&amp;outFields=OBJECTID%2CBarajAdi%2CHavzaAdi%2CHAVZA_ID%2CIl&amp;returnGeometry=true&amp;outSR=4326&amp;f=geojson</x:v>
      </x:c>
      <x:c r="AU110" s="133" t="str">
        <x:v>Kızılırmak</x:v>
      </x:c>
      <x:c r="AV110" s="133" t="str">
        <x:v>Polyline / LineString</x:v>
      </x:c>
      <x:c r="AW110" s="133" t="str">
        <x:v>https://cbs1.tarimorman.gov.tr/server/rest/services/TATUS/FeatureServer/8/query?where=HAVZA_ID%3D15&amp;geometry=33.420840%2C39.395650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0" s="133" t="str">
        <x:v>Havza ana akarsuyu ön-eşleme; TATUS spatial query ile doğrulanmalı</x:v>
      </x:c>
      <x:c r="AY110" s="133" t="str">
        <x:v>Polygon</x:v>
      </x:c>
      <x:c r="AZ110" s="133" t="str">
        <x:v>https://cbs1.tarimorman.gov.tr/server/rest/services/TATUS/FeatureServer/9/query?where=1%3D1&amp;geometry=33.420840%2C39.395650&amp;geometryType=esriGeometryPoint&amp;inSR=4326&amp;spatialRel=esriSpatialRelIntersects&amp;outFields=%2A&amp;returnGeometry=true&amp;outSR=4326&amp;resultRecordCount=5&amp;f=geojson</x:v>
      </x:c>
      <x:c r="BA110" s="133" t="str">
        <x:v>Santral popup: Su alanını göster</x:v>
      </x:c>
      <x:c r="BB110" s="133" t="str">
        <x:v>Yüksek</x:v>
      </x:c>
      <x:c r="BC110" s="133"/>
    </x:row>
    <x:row r="111" ht="30" customHeight="1">
      <x:c r="A111" s="100" t="n">
        <x:v>108</x:v>
      </x:c>
      <x:c r="B111" s="32" t="str">
        <x:v>KILAVUZLU HES</x:v>
      </x:c>
      <x:c r="C111" s="32" t="str">
        <x:v>Ceyhan</x:v>
      </x:c>
      <x:c r="D111" s="32" t="str">
        <x:v>Ceyhan</x:v>
      </x:c>
      <x:c r="E111" s="34" t="n">
        <x:v>20</x:v>
      </x:c>
      <x:c r="F111" s="32" t="str">
        <x:v>https://cbs1.tarimorman.gov.tr/server/rest/services/TATUS/FeatureServer/11/query?where=ID%3D20&amp;outFields=ID%2CHAVZA_ADI%2CALAN_KM2&amp;returnGeometry=true&amp;outSR=4326&amp;f=geojson</x:v>
      </x:c>
      <x:c r="G111" s="32" t="str">
        <x:v>KILAVUZLU</x:v>
      </x:c>
      <x:c r="H111" s="32" t="str">
        <x:v>KAHRAMANMARAŞ</x:v>
      </x:c>
      <x:c r="I111" s="36" t="n">
        <x:v>37.62661</x:v>
      </x:c>
      <x:c r="J111" s="36" t="n">
        <x:v>36.80339</x:v>
      </x:c>
      <x:c r="K111" s="38" t="n">
        <x:v>485.5</x:v>
      </x:c>
      <x:c r="L111" s="38" t="n">
        <x:v>483.5</x:v>
      </x:c>
      <x:c r="M111" s="32" t="str">
        <x:v>SIR HES</x:v>
      </x:c>
      <x:c r="N111" s="38" t="n">
        <x:v>54</x:v>
      </x:c>
      <x:c r="O111" s="38" t="n">
        <x:v>130.8</x:v>
      </x:c>
      <x:c r="P111" s="38" t="n">
        <x:v>78.65</x:v>
      </x:c>
      <x:c r="Q111" s="38" t="n">
        <x:v>71.99</x:v>
      </x:c>
      <x:c r="R111" s="38" t="n">
        <x:v>5.53</x:v>
      </x:c>
      <x:c r="S111" s="38" t="n">
        <x:v>0.71</x:v>
      </x:c>
      <x:c r="T111" s="40" t="n">
        <x:v>46278.81434027778</x:v>
      </x:c>
      <x:c r="U111" s="32" t="str">
        <x:v>exact</x:v>
      </x:c>
      <x:c r="V111" s="32" t="str">
        <x:v>A</x:v>
      </x:c>
      <x:c r="W111" s="32" t="str">
        <x:v>Yüklü Debi_ve_Kurulu_Guc-13092026.xlsx</x:v>
      </x:c>
      <x:c r="X111" s="32" t="str">
        <x:v>Yüklü Debi_ve_Kurulu_Guc-13092026.xlsx</x:v>
      </x:c>
      <x:c r="Y111" s="32" t="str">
        <x:v>https://cbs1.tarimorman.gov.tr/server/rest/services/TATUS/FeatureServer/7</x:v>
      </x:c>
      <x:c r="Z111" s="32" t="str">
        <x:v>SIR HES</x:v>
      </x:c>
      <x:c r="AA111" s="101"/>
      <x:c r="AB111" s="133" t="str">
        <x:v>Doğrulanmış koordinat mevcut</x:v>
      </x:c>
      <x:c r="AC111" s="133" t="str">
        <x:v>HES / baraj noktası</x:v>
      </x:c>
      <x:c r="AD111" s="133"/>
      <x:c r="AE111" s="133"/>
      <x:c r="AF111" s="133"/>
      <x:c r="AG111" s="134"/>
      <x:c r="AH111" s="134"/>
      <x:c r="AI111" s="133"/>
      <x:c r="AJ111" s="133"/>
      <x:c r="AK111" s="135"/>
      <x:c r="AL111" s="133" t="str">
        <x:v>Point</x:v>
      </x:c>
      <x:c r="AM111" s="133" t="str">
        <x:v>{"type": "Point", "coordinates": [36.80339, 37.62661]}</x:v>
      </x:c>
      <x:c r="AN111" s="133" t="str">
        <x:v>TATUS Baraj Gözlem Point</x:v>
      </x:c>
      <x:c r="AO111" s="133" t="str">
        <x:v>KILAVUZLU</x:v>
      </x:c>
      <x:c r="AP111" s="133" t="n">
        <x:v>1</x:v>
      </x:c>
      <x:c r="AQ111" s="134" t="n">
        <x:v>37.62661</x:v>
      </x:c>
      <x:c r="AR111" s="134" t="n">
        <x:v>36.80339</x:v>
      </x:c>
      <x:c r="AS111" s="133" t="str">
        <x:v>{"type": "Point", "coordinates": [36.80339, 37.62661]}</x:v>
      </x:c>
      <x:c r="AT111" s="133" t="str">
        <x:v>https://cbs1.tarimorman.gov.tr/server/rest/services/TATUS/FeatureServer/7/query?where=HAVZA_ID%3D20+AND+%28BarajAdi%3D%27KILAVUZLU%27%29&amp;outFields=OBJECTID%2CBarajAdi%2CHavzaAdi%2CHAVZA_ID%2CIl&amp;returnGeometry=true&amp;outSR=4326&amp;f=geojson</x:v>
      </x:c>
      <x:c r="AU111" s="133" t="str">
        <x:v>Ceyhan</x:v>
      </x:c>
      <x:c r="AV111" s="133" t="str">
        <x:v>Polyline / LineString</x:v>
      </x:c>
      <x:c r="AW111" s="133" t="str">
        <x:v>https://cbs1.tarimorman.gov.tr/server/rest/services/TATUS/FeatureServer/8/query?where=HAVZA_ID%3D20&amp;geometry=36.803390%2C37.626610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1" s="133" t="str">
        <x:v>Havza ana akarsuyu ön-eşleme; TATUS spatial query ile doğrulanmalı</x:v>
      </x:c>
      <x:c r="AY111" s="133" t="str">
        <x:v>Polygon</x:v>
      </x:c>
      <x:c r="AZ111" s="133" t="str">
        <x:v>https://cbs1.tarimorman.gov.tr/server/rest/services/TATUS/FeatureServer/9/query?where=1%3D1&amp;geometry=36.803390%2C37.626610&amp;geometryType=esriGeometryPoint&amp;inSR=4326&amp;spatialRel=esriSpatialRelIntersects&amp;outFields=%2A&amp;returnGeometry=true&amp;outSR=4326&amp;resultRecordCount=5&amp;f=geojson</x:v>
      </x:c>
      <x:c r="BA111" s="133" t="str">
        <x:v>Santral popup: Su alanını göster</x:v>
      </x:c>
      <x:c r="BB111" s="133" t="str">
        <x:v>Yüksek</x:v>
      </x:c>
      <x:c r="BC111" s="133"/>
    </x:row>
    <x:row r="112" ht="30" customHeight="1">
      <x:c r="A112" s="100" t="n">
        <x:v>109</x:v>
      </x:c>
      <x:c r="B112" s="32" t="str">
        <x:v>KILIÇKAYA HES</x:v>
      </x:c>
      <x:c r="C112" s="32" t="str">
        <x:v>Yeşilırmak</x:v>
      </x:c>
      <x:c r="D112" s="32" t="str">
        <x:v>Yeşilırmak</x:v>
      </x:c>
      <x:c r="E112" s="34" t="n">
        <x:v>14</x:v>
      </x:c>
      <x:c r="F112" s="32" t="str">
        <x:v>https://cbs1.tarimorman.gov.tr/server/rest/services/TATUS/FeatureServer/11/query?where=ID%3D14&amp;outFields=ID%2CHAVZA_ADI%2CALAN_KM2&amp;returnGeometry=true&amp;outSR=4326&amp;f=geojson</x:v>
      </x:c>
      <x:c r="G112" s="32" t="str">
        <x:v>KILIÇKAYA</x:v>
      </x:c>
      <x:c r="H112" s="32" t="str">
        <x:v>SİVAS</x:v>
      </x:c>
      <x:c r="I112" s="36" t="n">
        <x:v>40.244</x:v>
      </x:c>
      <x:c r="J112" s="36" t="n">
        <x:v>38.187</x:v>
      </x:c>
      <x:c r="K112" s="38" t="n">
        <x:v>850</x:v>
      </x:c>
      <x:c r="L112" s="38" t="n">
        <x:v>821</x:v>
      </x:c>
      <x:c r="M112" s="32" t="str">
        <x:v>ÇAMLIGÖZE HES</x:v>
      </x:c>
      <x:c r="N112" s="38" t="n">
        <x:v>124</x:v>
      </x:c>
      <x:c r="O112" s="38" t="n">
        <x:v>162.1</x:v>
      </x:c>
      <x:c r="P112" s="38" t="n">
        <x:v>1400.39</x:v>
      </x:c>
      <x:c r="Q112" s="38" t="n">
        <x:v>367.13</x:v>
      </x:c>
      <x:c r="R112" s="38" t="n">
        <x:v>721.2</x:v>
      </x:c>
      <x:c r="S112" s="38" t="n">
        <x:v>141</x:v>
      </x:c>
      <x:c r="T112" s="40" t="n">
        <x:v>46278.81434027778</x:v>
      </x:c>
      <x:c r="U112" s="32" t="str">
        <x:v>exact</x:v>
      </x:c>
      <x:c r="V112" s="32" t="str">
        <x:v>B</x:v>
      </x:c>
      <x:c r="W112" s="32" t="str">
        <x:v>Yüklü Debi_ve_Kurulu_Guc-13092026.xlsx</x:v>
      </x:c>
      <x:c r="X112" s="32" t="str">
        <x:v>Yüklü Debi_ve_Kurulu_Guc-13092026.xlsx</x:v>
      </x:c>
      <x:c r="Y112" s="32" t="str">
        <x:v>hes_MERKEZI_LISTESI.xlsx — trafo merkezi koordinatı (yaklaşık)</x:v>
      </x:c>
      <x:c r="Z112" s="32" t="str">
        <x:v>ÇAMLIGÖZE HES</x:v>
      </x:c>
      <x:c r="AA112" s="101" t="str">
        <x:v>Koordinat güvenilir açık kaynaktan doğrulanamadı; Santral/baraj kesin koordinatı doğrulanamadığı için eşleşen trafo merkezi koordinatı harita referansı olarak kullanıldı; kesin HES konumu değildir.</x:v>
      </x:c>
      <x:c r="AB112" s="133" t="str">
        <x:v>Trafo merkezi koordinatı ile tamamlandı</x:v>
      </x:c>
      <x:c r="AC112" s="133" t="str">
        <x:v>Trafo merkezi / elektrik bağlantı noktası (yaklaşık)</x:v>
      </x:c>
      <x:c r="AD112" s="133" t="n">
        <x:v>797</x:v>
      </x:c>
      <x:c r="AE112" s="133" t="str">
        <x:v>KILIÇKAYA HES</x:v>
      </x:c>
      <x:c r="AF112" s="133" t="str">
        <x:v>Sivas</x:v>
      </x:c>
      <x:c r="AG112" s="134" t="n">
        <x:v>40.244</x:v>
      </x:c>
      <x:c r="AH112" s="134" t="n">
        <x:v>38.187</x:v>
      </x:c>
      <x:c r="AI112" s="133" t="str">
        <x:v>Tam ad eşleşmesi</x:v>
      </x:c>
      <x:c r="AJ112" s="133" t="str">
        <x:v>Yüksek</x:v>
      </x:c>
      <x:c r="AK112" s="135"/>
      <x:c r="AL112" s="133" t="str">
        <x:v>Point</x:v>
      </x:c>
      <x:c r="AM112" s="133" t="str">
        <x:v>{"type": "Point", "coordinates": [38.187, 40.244]}</x:v>
      </x:c>
      <x:c r="AN112" s="133" t="str">
        <x:v>Trafo merkezi / elektrik bağlantı noktası (yaklaşık)</x:v>
      </x:c>
      <x:c r="AO112" s="133"/>
      <x:c r="AP112" s="133"/>
      <x:c r="AQ112" s="134"/>
      <x:c r="AR112" s="134"/>
      <x:c r="AS112" s="133"/>
      <x:c r="AT112" s="133" t="str">
        <x:v>https://cbs1.tarimorman.gov.tr/server/rest/services/TATUS/FeatureServer/7/query?where=HAVZA_ID%3D14+AND+%28BarajAdi%3D%27KILI%C3%87KAYA%27%29&amp;outFields=OBJECTID%2CBarajAdi%2CHavzaAdi%2CHAVZA_ID%2CIl&amp;returnGeometry=true&amp;outSR=4326&amp;f=geojson</x:v>
      </x:c>
      <x:c r="AU112" s="133" t="str">
        <x:v>Yeşilırmak</x:v>
      </x:c>
      <x:c r="AV112" s="133" t="str">
        <x:v>Polyline / LineString</x:v>
      </x:c>
      <x:c r="AW112" s="133" t="str">
        <x:v>https://cbs1.tarimorman.gov.tr/server/rest/services/TATUS/FeatureServer/8/query?where=HAVZA_ID%3D14&amp;geometry=38.187000%2C40.244000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2" s="133" t="str">
        <x:v>Havza ana akarsuyu ön-eşleme; TATUS spatial query ile doğrulanmalı</x:v>
      </x:c>
      <x:c r="AY112" s="133" t="str">
        <x:v>Polygon</x:v>
      </x:c>
      <x:c r="AZ112" s="133" t="str">
        <x:v>https://cbs1.tarimorman.gov.tr/server/rest/services/TATUS/FeatureServer/9/query?where=1%3D1&amp;geometry=38.187000%2C40.244000&amp;geometryType=esriGeometryPoint&amp;inSR=4326&amp;spatialRel=esriSpatialRelIntersects&amp;outFields=%2A&amp;returnGeometry=true&amp;outSR=4326&amp;resultRecordCount=5&amp;f=geojson</x:v>
      </x:c>
      <x:c r="BA112" s="133" t="str">
        <x:v>Santral popup: Su alanını göster</x:v>
      </x:c>
      <x:c r="BB112" s="133" t="str">
        <x:v>Orta-Düşük</x:v>
      </x:c>
      <x:c r="BC11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13" ht="30" customHeight="1">
      <x:c r="A113" s="100" t="n">
        <x:v>110</x:v>
      </x:c>
      <x:c r="B113" s="32" t="str">
        <x:v>KİĞI HES</x:v>
      </x:c>
      <x:c r="C113" s="32" t="str">
        <x:v>Fırat Dicle</x:v>
      </x:c>
      <x:c r="D113" s="32" t="str">
        <x:v>Fırat-Dicle</x:v>
      </x:c>
      <x:c r="E113" s="34" t="n">
        <x:v>21</x:v>
      </x:c>
      <x:c r="F113" s="32" t="str">
        <x:v>https://cbs1.tarimorman.gov.tr/server/rest/services/TATUS/FeatureServer/11/query?where=ID%3D21&amp;outFields=ID%2CHAVZA_ADI%2CALAN_KM2&amp;returnGeometry=true&amp;outSR=4326&amp;f=geojson</x:v>
      </x:c>
      <x:c r="G113" s="32" t="str">
        <x:v>KİĞI</x:v>
      </x:c>
      <x:c r="H113" s="32" t="str">
        <x:v>BİNGÖL</x:v>
      </x:c>
      <x:c r="I113" s="36" t="n">
        <x:v>39.299</x:v>
      </x:c>
      <x:c r="J113" s="36" t="n">
        <x:v>40.373</x:v>
      </x:c>
      <x:c r="K113" s="38" t="n">
        <x:v>1365</x:v>
      </x:c>
      <x:c r="L113" s="38" t="n">
        <x:v>1307</x:v>
      </x:c>
      <x:c r="M113" s="32" t="str">
        <x:v>ÖZLÜCE HES</x:v>
      </x:c>
      <x:c r="N113" s="38" t="n">
        <x:v>138</x:v>
      </x:c>
      <x:c r="O113" s="38"/>
      <x:c r="P113" s="38"/>
      <x:c r="Q113" s="38"/>
      <x:c r="R113" s="38"/>
      <x:c r="S113" s="38"/>
      <x:c r="T113" s="40"/>
      <x:c r="U113" s="32" t="str">
        <x:v>eşleşme yok</x:v>
      </x:c>
      <x:c r="V113" s="32" t="str">
        <x:v>C</x:v>
      </x:c>
      <x:c r="W113" s="32" t="str">
        <x:v>https://www.enerjiatlasi.com/hidroelektrik/?v=1.0.24</x:v>
      </x:c>
      <x:c r="X113" s="32" t="str">
        <x:v>https://openinframap.org/stats/area/Turkey/plants?source=hydro</x:v>
      </x:c>
      <x:c r="Y113" s="32" t="str">
        <x:v>hes_MERKEZI_LISTESI.xlsx — trafo merkezi koordinatı (yaklaşık)</x:v>
      </x:c>
      <x:c r="Z113" s="32" t="str">
        <x:v>ÖZLÜCE HES</x:v>
      </x:c>
      <x:c r="AA113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13" s="133" t="str">
        <x:v>Trafo merkezi koordinatı ile tamamlandı</x:v>
      </x:c>
      <x:c r="AC113" s="133" t="str">
        <x:v>Trafo merkezi / elektrik bağlantı noktası (yaklaşık)</x:v>
      </x:c>
      <x:c r="AD113" s="133" t="n">
        <x:v>1475</x:v>
      </x:c>
      <x:c r="AE113" s="133" t="str">
        <x:v>KİĞI HES</x:v>
      </x:c>
      <x:c r="AF113" s="133" t="str">
        <x:v>Bingöl</x:v>
      </x:c>
      <x:c r="AG113" s="134" t="n">
        <x:v>39.299</x:v>
      </x:c>
      <x:c r="AH113" s="134" t="n">
        <x:v>40.373</x:v>
      </x:c>
      <x:c r="AI113" s="133" t="str">
        <x:v>Tam ad eşleşmesi</x:v>
      </x:c>
      <x:c r="AJ113" s="133" t="str">
        <x:v>Yüksek</x:v>
      </x:c>
      <x:c r="AK113" s="135"/>
      <x:c r="AL113" s="133" t="str">
        <x:v>Point</x:v>
      </x:c>
      <x:c r="AM113" s="133" t="str">
        <x:v>{"type": "Point", "coordinates": [40.373, 39.299]}</x:v>
      </x:c>
      <x:c r="AN113" s="133" t="str">
        <x:v>Trafo merkezi / elektrik bağlantı noktası (yaklaşık)</x:v>
      </x:c>
      <x:c r="AO113" s="133"/>
      <x:c r="AP113" s="133"/>
      <x:c r="AQ113" s="134"/>
      <x:c r="AR113" s="134"/>
      <x:c r="AS113" s="133"/>
      <x:c r="AT113" s="133" t="str">
        <x:v>https://cbs1.tarimorman.gov.tr/server/rest/services/TATUS/FeatureServer/7/query?where=HAVZA_ID%3D21+AND+%28BarajAdi%3D%27K%C4%B0%C4%9EI%27%29&amp;outFields=OBJECTID%2CBarajAdi%2CHavzaAdi%2CHAVZA_ID%2CIl&amp;returnGeometry=true&amp;outSR=4326&amp;f=geojson</x:v>
      </x:c>
      <x:c r="AU113" s="133"/>
      <x:c r="AV113" s="133" t="str">
        <x:v>Polyline / LineString</x:v>
      </x:c>
      <x:c r="AW113" s="133" t="str">
        <x:v>https://cbs1.tarimorman.gov.tr/server/rest/services/TATUS/FeatureServer/8/query?where=HAVZA_ID%3D21&amp;geometry=40.373000%2C39.299000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3" s="133" t="str">
        <x:v>TATUS spatial query hazır; en yakın/uygun LineString seçilmeli</x:v>
      </x:c>
      <x:c r="AY113" s="133" t="str">
        <x:v>Polygon</x:v>
      </x:c>
      <x:c r="AZ113" s="133" t="str">
        <x:v>https://cbs1.tarimorman.gov.tr/server/rest/services/TATUS/FeatureServer/9/query?where=1%3D1&amp;geometry=40.373000%2C39.299000&amp;geometryType=esriGeometryPoint&amp;inSR=4326&amp;spatialRel=esriSpatialRelIntersects&amp;outFields=%2A&amp;returnGeometry=true&amp;outSR=4326&amp;resultRecordCount=5&amp;f=geojson</x:v>
      </x:c>
      <x:c r="BA113" s="133" t="str">
        <x:v>Santral popup: Su alanını göster</x:v>
      </x:c>
      <x:c r="BB113" s="133" t="str">
        <x:v>Orta-Düşük</x:v>
      </x:c>
      <x:c r="BC113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14" ht="30" customHeight="1">
      <x:c r="A114" s="100" t="n">
        <x:v>111</x:v>
      </x:c>
      <x:c r="B114" s="32" t="str">
        <x:v>KİRAZLIK HES</x:v>
      </x:c>
      <x:c r="C114" s="32" t="str">
        <x:v>Fırat Dicle</x:v>
      </x:c>
      <x:c r="D114" s="32" t="str">
        <x:v>Fırat-Dicle</x:v>
      </x:c>
      <x:c r="E114" s="34" t="n">
        <x:v>21</x:v>
      </x:c>
      <x:c r="F114" s="32" t="str">
        <x:v>https://cbs1.tarimorman.gov.tr/server/rest/services/TATUS/FeatureServer/11/query?where=ID%3D21&amp;outFields=ID%2CHAVZA_ADI%2CALAN_KM2&amp;returnGeometry=true&amp;outSR=4326&amp;f=geojson</x:v>
      </x:c>
      <x:c r="G114" s="32" t="str">
        <x:v>KİRAZLIK</x:v>
      </x:c>
      <x:c r="H114" s="32" t="str">
        <x:v>SİİRT</x:v>
      </x:c>
      <x:c r="I114" s="36" t="n">
        <x:v>37.922</x:v>
      </x:c>
      <x:c r="J114" s="36" t="n">
        <x:v>42.061</x:v>
      </x:c>
      <x:c r="K114" s="38" t="n">
        <x:v>542</x:v>
      </x:c>
      <x:c r="L114" s="38" t="n">
        <x:v>537.5</x:v>
      </x:c>
      <x:c r="M114" s="32"/>
      <x:c r="N114" s="38" t="n">
        <x:v>46</x:v>
      </x:c>
      <x:c r="O114" s="38"/>
      <x:c r="P114" s="38"/>
      <x:c r="Q114" s="38"/>
      <x:c r="R114" s="38"/>
      <x:c r="S114" s="38"/>
      <x:c r="T114" s="40"/>
      <x:c r="U114" s="32" t="str">
        <x:v>eşleşme yok</x:v>
      </x:c>
      <x:c r="V114" s="32" t="str">
        <x:v>C</x:v>
      </x:c>
      <x:c r="W114" s="32" t="str">
        <x:v>https://www.enerjiatlasi.com/hes-haritasi/siirt</x:v>
      </x:c>
      <x:c r="X114" s="32" t="str">
        <x:v>https://www.enerjiatlasi.com/hes-haritasi/siirt</x:v>
      </x:c>
      <x:c r="Y114" s="32" t="str">
        <x:v>hes_MERKEZI_LISTESI.xlsx — trafo merkezi koordinatı (yaklaşık)</x:v>
      </x:c>
      <x:c r="Z114" s="32" t="str">
        <x:v>10</x:v>
      </x:c>
      <x:c r="AA114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doğrulanamadı; Santral/baraj kesin koordinatı doğrulanamadığı için eşleşen trafo merkezi koordinatı harita referansı olarak kullanıldı; kesin HES konumu değildir.</x:v>
      </x:c>
      <x:c r="AB114" s="133" t="str">
        <x:v>Trafo merkezi koordinatı ile tamamlandı</x:v>
      </x:c>
      <x:c r="AC114" s="133" t="str">
        <x:v>Trafo merkezi / elektrik bağlantı noktası (yaklaşık)</x:v>
      </x:c>
      <x:c r="AD114" s="133" t="n">
        <x:v>1075</x:v>
      </x:c>
      <x:c r="AE114" s="133" t="str">
        <x:v>KİRAZLIK HES</x:v>
      </x:c>
      <x:c r="AF114" s="133" t="str">
        <x:v>Siirt</x:v>
      </x:c>
      <x:c r="AG114" s="134" t="n">
        <x:v>37.922</x:v>
      </x:c>
      <x:c r="AH114" s="134" t="n">
        <x:v>42.061</x:v>
      </x:c>
      <x:c r="AI114" s="133" t="str">
        <x:v>Tam ad eşleşmesi</x:v>
      </x:c>
      <x:c r="AJ114" s="133" t="str">
        <x:v>Yüksek</x:v>
      </x:c>
      <x:c r="AK114" s="135"/>
      <x:c r="AL114" s="133" t="str">
        <x:v>Point</x:v>
      </x:c>
      <x:c r="AM114" s="133" t="str">
        <x:v>{"type": "Point", "coordinates": [42.061, 37.922]}</x:v>
      </x:c>
      <x:c r="AN114" s="133" t="str">
        <x:v>Trafo merkezi / elektrik bağlantı noktası (yaklaşık)</x:v>
      </x:c>
      <x:c r="AO114" s="133"/>
      <x:c r="AP114" s="133"/>
      <x:c r="AQ114" s="134"/>
      <x:c r="AR114" s="134"/>
      <x:c r="AS114" s="133"/>
      <x:c r="AT114" s="133" t="str">
        <x:v>https://cbs1.tarimorman.gov.tr/server/rest/services/TATUS/FeatureServer/7/query?where=HAVZA_ID%3D21+AND+%28BarajAdi%3D%27K%C4%B0RAZLIK%27%29&amp;outFields=OBJECTID%2CBarajAdi%2CHavzaAdi%2CHAVZA_ID%2CIl&amp;returnGeometry=true&amp;outSR=4326&amp;f=geojson</x:v>
      </x:c>
      <x:c r="AU114" s="133"/>
      <x:c r="AV114" s="133" t="str">
        <x:v>Polyline / LineString</x:v>
      </x:c>
      <x:c r="AW114" s="133" t="str">
        <x:v>https://cbs1.tarimorman.gov.tr/server/rest/services/TATUS/FeatureServer/8/query?where=HAVZA_ID%3D21&amp;geometry=42.061000%2C37.922000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4" s="133" t="str">
        <x:v>TATUS spatial query hazır; en yakın/uygun LineString seçilmeli</x:v>
      </x:c>
      <x:c r="AY114" s="133" t="str">
        <x:v>Polygon</x:v>
      </x:c>
      <x:c r="AZ114" s="133" t="str">
        <x:v>https://cbs1.tarimorman.gov.tr/server/rest/services/TATUS/FeatureServer/9/query?where=1%3D1&amp;geometry=42.061000%2C37.922000&amp;geometryType=esriGeometryPoint&amp;inSR=4326&amp;spatialRel=esriSpatialRelIntersects&amp;outFields=%2A&amp;returnGeometry=true&amp;outSR=4326&amp;resultRecordCount=5&amp;f=geojson</x:v>
      </x:c>
      <x:c r="BA114" s="133" t="str">
        <x:v>Santral popup: Su alanını göster</x:v>
      </x:c>
      <x:c r="BB114" s="133" t="str">
        <x:v>Orta-Düşük</x:v>
      </x:c>
      <x:c r="BC114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15" ht="30" customHeight="1">
      <x:c r="A115" s="100" t="n">
        <x:v>112</x:v>
      </x:c>
      <x:c r="B115" s="32" t="str">
        <x:v>KİRAZLI KÖPRÜ BARAJI VE HES</x:v>
      </x:c>
      <x:c r="C115" s="32" t="str">
        <x:v>Batı Karadeniz</x:v>
      </x:c>
      <x:c r="D115" s="32" t="str">
        <x:v>Batı Karadeniz</x:v>
      </x:c>
      <x:c r="E115" s="34" t="n">
        <x:v>13</x:v>
      </x:c>
      <x:c r="F115" s="32" t="str">
        <x:v>https://cbs1.tarimorman.gov.tr/server/rest/services/TATUS/FeatureServer/11/query?where=ID%3D13&amp;outFields=ID%2CHAVZA_ADI%2CALAN_KM2&amp;returnGeometry=true&amp;outSR=4326&amp;f=geojson</x:v>
      </x:c>
      <x:c r="G115" s="32" t="str">
        <x:v>KİRAZLIKÖPRÜ</x:v>
      </x:c>
      <x:c r="H115" s="32" t="str">
        <x:v>BARTIN</x:v>
      </x:c>
      <x:c r="I115" s="36" t="n">
        <x:v>41.534</x:v>
      </x:c>
      <x:c r="J115" s="36" t="n">
        <x:v>32.472</x:v>
      </x:c>
      <x:c r="K115" s="38" t="n">
        <x:v>0</x:v>
      </x:c>
      <x:c r="L115" s="38" t="n">
        <x:v>0</x:v>
      </x:c>
      <x:c r="M115" s="32"/>
      <x:c r="N115" s="38" t="n">
        <x:v>8</x:v>
      </x:c>
      <x:c r="O115" s="38" t="n">
        <x:v>31.5</x:v>
      </x:c>
      <x:c r="P115" s="38" t="n">
        <x:v>66.2</x:v>
      </x:c>
      <x:c r="Q115" s="38" t="n">
        <x:v>10.1</x:v>
      </x:c>
      <x:c r="R115" s="38" t="n">
        <x:v>0.67</x:v>
      </x:c>
      <x:c r="S115" s="38" t="n">
        <x:v>0.04</x:v>
      </x:c>
      <x:c r="T115" s="40" t="n">
        <x:v>46278.81434027778</x:v>
      </x:c>
      <x:c r="U115" s="32" t="str">
        <x:v>exact</x:v>
      </x:c>
      <x:c r="V115" s="32" t="str">
        <x:v>A</x:v>
      </x:c>
      <x:c r="W115" s="32" t="str">
        <x:v>Yüklü Debi_ve_Kurulu_Guc-13092026.xlsx</x:v>
      </x:c>
      <x:c r="X115" s="32" t="str">
        <x:v>Yüklü Debi_ve_Kurulu_Guc-13092026.xlsx</x:v>
      </x:c>
      <x:c r="Y115" s="32" t="str">
        <x:v>https://cbs1.tarimorman.gov.tr/server/rest/services/TATUS/FeatureServer/7</x:v>
      </x:c>
      <x:c r="Z115" s="32" t="str">
        <x:v>10</x:v>
      </x:c>
      <x:c r="AA115" s="101" t="str">
        <x:v>Kaskat alanında kaynak değeri '10' (belirsiz/sentinel)</x:v>
      </x:c>
      <x:c r="AB115" s="133" t="str">
        <x:v>Doğrulanmış koordinat mevcut</x:v>
      </x:c>
      <x:c r="AC115" s="133" t="str">
        <x:v>HES / baraj noktası</x:v>
      </x:c>
      <x:c r="AD115" s="133"/>
      <x:c r="AE115" s="133"/>
      <x:c r="AF115" s="133"/>
      <x:c r="AG115" s="134"/>
      <x:c r="AH115" s="134"/>
      <x:c r="AI115" s="133"/>
      <x:c r="AJ115" s="133"/>
      <x:c r="AK115" s="135"/>
      <x:c r="AL115" s="133" t="str">
        <x:v>Point</x:v>
      </x:c>
      <x:c r="AM115" s="133" t="str">
        <x:v>{"type": "Point", "coordinates": [32.472, 41.534]}</x:v>
      </x:c>
      <x:c r="AN115" s="133" t="str">
        <x:v>TATUS Baraj Gözlem Point</x:v>
      </x:c>
      <x:c r="AO115" s="133" t="str">
        <x:v>KİRAZLIKÖPRÜ</x:v>
      </x:c>
      <x:c r="AP115" s="133" t="n">
        <x:v>1</x:v>
      </x:c>
      <x:c r="AQ115" s="134" t="n">
        <x:v>41.534</x:v>
      </x:c>
      <x:c r="AR115" s="134" t="n">
        <x:v>32.472</x:v>
      </x:c>
      <x:c r="AS115" s="133" t="str">
        <x:v>{"type": "Point", "coordinates": [32.472, 41.534]}</x:v>
      </x:c>
      <x:c r="AT115" s="133" t="str">
        <x:v>https://cbs1.tarimorman.gov.tr/server/rest/services/TATUS/FeatureServer/7/query?where=HAVZA_ID%3D13+AND+%28BarajAdi%3D%27K%C4%B0RAZLIK%C3%96PR%C3%9C%27+OR+BarajAdi%3D%27K%C4%B0RAZLI+K%C3%96PR%C3%9C%27%29&amp;outFields=OBJECTID%2CBarajAdi%2CHavzaAdi%2CHAVZA_ID%2CIl&amp;returnGeometry=true&amp;outSR=4326&amp;f=geojson</x:v>
      </x:c>
      <x:c r="AU115" s="133"/>
      <x:c r="AV115" s="133" t="str">
        <x:v>Polyline / LineString</x:v>
      </x:c>
      <x:c r="AW115" s="133" t="str">
        <x:v>https://cbs1.tarimorman.gov.tr/server/rest/services/TATUS/FeatureServer/8/query?where=HAVZA_ID%3D13&amp;geometry=32.472000%2C41.534000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5" s="133" t="str">
        <x:v>TATUS spatial query hazır; en yakın/uygun LineString seçilmeli</x:v>
      </x:c>
      <x:c r="AY115" s="133" t="str">
        <x:v>Polygon</x:v>
      </x:c>
      <x:c r="AZ115" s="133" t="str">
        <x:v>https://cbs1.tarimorman.gov.tr/server/rest/services/TATUS/FeatureServer/9/query?where=1%3D1&amp;geometry=32.472000%2C41.534000&amp;geometryType=esriGeometryPoint&amp;inSR=4326&amp;spatialRel=esriSpatialRelIntersects&amp;outFields=%2A&amp;returnGeometry=true&amp;outSR=4326&amp;resultRecordCount=5&amp;f=geojson</x:v>
      </x:c>
      <x:c r="BA115" s="133" t="str">
        <x:v>Santral popup: Su alanını göster</x:v>
      </x:c>
      <x:c r="BB115" s="133" t="str">
        <x:v>Yüksek</x:v>
      </x:c>
      <x:c r="BC115" s="133"/>
    </x:row>
    <x:row r="116" ht="30" customHeight="1">
      <x:c r="A116" s="100" t="n">
        <x:v>113</x:v>
      </x:c>
      <x:c r="B116" s="32" t="str">
        <x:v>KOÇKÖPRÜ HES</x:v>
      </x:c>
      <x:c r="C116" s="32" t="str">
        <x:v>Van Gölü</x:v>
      </x:c>
      <x:c r="D116" s="32" t="str">
        <x:v>Van Gölü</x:v>
      </x:c>
      <x:c r="E116" s="34" t="n">
        <x:v>25</x:v>
      </x:c>
      <x:c r="F116" s="32" t="str">
        <x:v>https://cbs1.tarimorman.gov.tr/server/rest/services/TATUS/FeatureServer/11/query?where=ID%3D25&amp;outFields=ID%2CHAVZA_ADI%2CALAN_KM2&amp;returnGeometry=true&amp;outSR=4326&amp;f=geojson</x:v>
      </x:c>
      <x:c r="G116" s="32" t="str">
        <x:v>KOÇKÖPRÜ</x:v>
      </x:c>
      <x:c r="H116" s="32" t="str">
        <x:v>VAN</x:v>
      </x:c>
      <x:c r="I116" s="36" t="n">
        <x:v>39.12198</x:v>
      </x:c>
      <x:c r="J116" s="36" t="n">
        <x:v>43.3294</x:v>
      </x:c>
      <x:c r="K116" s="38" t="n">
        <x:v>1778.5</x:v>
      </x:c>
      <x:c r="L116" s="38" t="n">
        <x:v>1765</x:v>
      </x:c>
      <x:c r="M116" s="32"/>
      <x:c r="N116" s="38" t="n">
        <x:v>8.8</x:v>
      </x:c>
      <x:c r="O116" s="38" t="n">
        <x:v>23</x:v>
      </x:c>
      <x:c r="P116" s="38" t="n">
        <x:v>86.5</x:v>
      </x:c>
      <x:c r="Q116" s="38" t="n">
        <x:v>22.55</x:v>
      </x:c>
      <x:c r="R116" s="38"/>
      <x:c r="S116" s="38"/>
      <x:c r="T116" s="40" t="n">
        <x:v>46278.81434027778</x:v>
      </x:c>
      <x:c r="U116" s="32" t="str">
        <x:v>exact</x:v>
      </x:c>
      <x:c r="V116" s="32" t="str">
        <x:v>A</x:v>
      </x:c>
      <x:c r="W116" s="32" t="str">
        <x:v>Yüklü Debi_ve_Kurulu_Guc-13092026.xlsx</x:v>
      </x:c>
      <x:c r="X116" s="32" t="str">
        <x:v>Yüklü Debi_ve_Kurulu_Guc-13092026.xlsx</x:v>
      </x:c>
      <x:c r="Y116" s="32" t="str">
        <x:v>https://cbs1.tarimorman.gov.tr/server/rest/services/TATUS/FeatureServer/7</x:v>
      </x:c>
      <x:c r="Z116" s="32" t="str">
        <x:v>10</x:v>
      </x:c>
      <x:c r="AA116" s="101" t="str">
        <x:v>Kaskat alanında kaynak değeri '10' (belirsiz/sentinel)</x:v>
      </x:c>
      <x:c r="AB116" s="133" t="str">
        <x:v>Doğrulanmış koordinat mevcut</x:v>
      </x:c>
      <x:c r="AC116" s="133" t="str">
        <x:v>HES / baraj noktası</x:v>
      </x:c>
      <x:c r="AD116" s="133"/>
      <x:c r="AE116" s="133"/>
      <x:c r="AF116" s="133"/>
      <x:c r="AG116" s="134"/>
      <x:c r="AH116" s="134"/>
      <x:c r="AI116" s="133"/>
      <x:c r="AJ116" s="133"/>
      <x:c r="AK116" s="135"/>
      <x:c r="AL116" s="133" t="str">
        <x:v>Point</x:v>
      </x:c>
      <x:c r="AM116" s="133" t="str">
        <x:v>{"type": "Point", "coordinates": [43.3294, 39.12198]}</x:v>
      </x:c>
      <x:c r="AN116" s="133" t="str">
        <x:v>TATUS Baraj Gözlem Point</x:v>
      </x:c>
      <x:c r="AO116" s="133" t="str">
        <x:v>KOÇKÖPRÜ</x:v>
      </x:c>
      <x:c r="AP116" s="133" t="n">
        <x:v>1</x:v>
      </x:c>
      <x:c r="AQ116" s="134" t="n">
        <x:v>39.12198</x:v>
      </x:c>
      <x:c r="AR116" s="134" t="n">
        <x:v>43.3294</x:v>
      </x:c>
      <x:c r="AS116" s="133" t="str">
        <x:v>{"type": "Point", "coordinates": [43.3294, 39.12198]}</x:v>
      </x:c>
      <x:c r="AT116" s="133" t="str">
        <x:v>https://cbs1.tarimorman.gov.tr/server/rest/services/TATUS/FeatureServer/7/query?where=HAVZA_ID%3D25+AND+%28BarajAdi%3D%27KO%C3%87K%C3%96PR%C3%9C%27%29&amp;outFields=OBJECTID%2CBarajAdi%2CHavzaAdi%2CHAVZA_ID%2CIl&amp;returnGeometry=true&amp;outSR=4326&amp;f=geojson</x:v>
      </x:c>
      <x:c r="AU116" s="133"/>
      <x:c r="AV116" s="133" t="str">
        <x:v>Polyline / LineString</x:v>
      </x:c>
      <x:c r="AW116" s="133" t="str">
        <x:v>https://cbs1.tarimorman.gov.tr/server/rest/services/TATUS/FeatureServer/8/query?where=HAVZA_ID%3D25&amp;geometry=43.329400%2C39.121980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6" s="133" t="str">
        <x:v>TATUS spatial query hazır; en yakın/uygun LineString seçilmeli</x:v>
      </x:c>
      <x:c r="AY116" s="133" t="str">
        <x:v>Polygon</x:v>
      </x:c>
      <x:c r="AZ116" s="133" t="str">
        <x:v>https://cbs1.tarimorman.gov.tr/server/rest/services/TATUS/FeatureServer/9/query?where=1%3D1&amp;geometry=43.329400%2C39.121980&amp;geometryType=esriGeometryPoint&amp;inSR=4326&amp;spatialRel=esriSpatialRelIntersects&amp;outFields=%2A&amp;returnGeometry=true&amp;outSR=4326&amp;resultRecordCount=5&amp;f=geojson</x:v>
      </x:c>
      <x:c r="BA116" s="133" t="str">
        <x:v>Santral popup: Su alanını göster</x:v>
      </x:c>
      <x:c r="BB116" s="133" t="str">
        <x:v>Yüksek</x:v>
      </x:c>
      <x:c r="BC116" s="133"/>
    </x:row>
    <x:row r="117" ht="30" customHeight="1">
      <x:c r="A117" s="100" t="n">
        <x:v>114</x:v>
      </x:c>
      <x:c r="B117" s="32" t="str">
        <x:v>KOTANLI 1-2 HES</x:v>
      </x:c>
      <x:c r="C117" s="32" t="str">
        <x:v>Aras</x:v>
      </x:c>
      <x:c r="D117" s="32" t="str">
        <x:v>Aras</x:v>
      </x:c>
      <x:c r="E117" s="34" t="n">
        <x:v>24</x:v>
      </x:c>
      <x:c r="F117" s="32" t="str">
        <x:v>https://cbs1.tarimorman.gov.tr/server/rest/services/TATUS/FeatureServer/11/query?where=ID%3D24&amp;outFields=ID%2CHAVZA_ADI%2CALAN_KM2&amp;returnGeometry=true&amp;outSR=4326&amp;f=geojson</x:v>
      </x:c>
      <x:c r="G117" s="32" t="str">
        <x:v>KOTANLI 1-2</x:v>
      </x:c>
      <x:c r="H117" s="32" t="str">
        <x:v>ARDAHAN</x:v>
      </x:c>
      <x:c r="I117" s="36" t="n">
        <x:v>41.163</x:v>
      </x:c>
      <x:c r="J117" s="36" t="n">
        <x:v>42.957</x:v>
      </x:c>
      <x:c r="K117" s="38" t="n">
        <x:v>1723</x:v>
      </x:c>
      <x:c r="L117" s="38" t="n">
        <x:v>1710</x:v>
      </x:c>
      <x:c r="M117" s="32" t="str">
        <x:v>ARDAHAN AKINCI HES</x:v>
      </x:c>
      <x:c r="N117" s="38" t="n">
        <x:v>125.16</x:v>
      </x:c>
      <x:c r="O117" s="38"/>
      <x:c r="P117" s="38"/>
      <x:c r="Q117" s="38"/>
      <x:c r="R117" s="38"/>
      <x:c r="S117" s="38"/>
      <x:c r="T117" s="40"/>
      <x:c r="U117" s="32" t="str">
        <x:v>eşleşme yok</x:v>
      </x:c>
      <x:c r="V117" s="32" t="str">
        <x:v>C</x:v>
      </x:c>
      <x:c r="W117" s="32" t="str">
        <x:v>https://webdosya.csb.gov.tr/db/ced/icerikler/ardahan_-cdr-2024-20250917092626.pdf</x:v>
      </x:c>
      <x:c r="X117" s="32" t="str">
        <x:v>https://webdosya.csb.gov.tr/db/ced/icerikler/ardahan_-cdr-2024-20250917092626.pdf</x:v>
      </x:c>
      <x:c r="Y117" s="32" t="str">
        <x:v>hes_MERKEZI_LISTESI.xlsx — trafo merkezi koordinatı (yaklaşık)</x:v>
      </x:c>
      <x:c r="Z117" s="32" t="str">
        <x:v>ARDAHAN AKINCI HES</x:v>
      </x:c>
      <x:c r="AA117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doğrulanamadı; Santral/baraj kesin koordinatı doğrulanamadığı için eşleşen trafo merkezi koordinatı harita referansı olarak kullanıldı; kesin HES konumu değildir.</x:v>
      </x:c>
      <x:c r="AB117" s="133" t="str">
        <x:v>Trafo merkezi koordinatı ile tamamlandı</x:v>
      </x:c>
      <x:c r="AC117" s="133" t="str">
        <x:v>Trafo merkezi / elektrik bağlantı noktası (yaklaşık)</x:v>
      </x:c>
      <x:c r="AD117" s="133" t="n">
        <x:v>1321</x:v>
      </x:c>
      <x:c r="AE117" s="133" t="str">
        <x:v>KOTANLI HES</x:v>
      </x:c>
      <x:c r="AF117" s="133" t="str">
        <x:v>Ardahan</x:v>
      </x:c>
      <x:c r="AG117" s="134" t="n">
        <x:v>41.163</x:v>
      </x:c>
      <x:c r="AH117" s="134" t="n">
        <x:v>42.957</x:v>
      </x:c>
      <x:c r="AI117" s="133" t="str">
        <x:v>Kontrollü ad/alias eşleşmesi</x:v>
      </x:c>
      <x:c r="AJ117" s="133" t="str">
        <x:v>Orta-Yüksek</x:v>
      </x:c>
      <x:c r="AK117" s="135"/>
      <x:c r="AL117" s="133" t="str">
        <x:v>Point</x:v>
      </x:c>
      <x:c r="AM117" s="133" t="str">
        <x:v>{"type": "Point", "coordinates": [42.957, 41.163]}</x:v>
      </x:c>
      <x:c r="AN117" s="133" t="str">
        <x:v>Trafo merkezi / elektrik bağlantı noktası (yaklaşık)</x:v>
      </x:c>
      <x:c r="AO117" s="133"/>
      <x:c r="AP117" s="133"/>
      <x:c r="AQ117" s="134"/>
      <x:c r="AR117" s="134"/>
      <x:c r="AS117" s="133"/>
      <x:c r="AT117" s="133" t="str">
        <x:v>https://cbs1.tarimorman.gov.tr/server/rest/services/TATUS/FeatureServer/7/query?where=HAVZA_ID%3D24+AND+%28BarajAdi%3D%27KOTANLI+1-2%27%29&amp;outFields=OBJECTID%2CBarajAdi%2CHavzaAdi%2CHAVZA_ID%2CIl&amp;returnGeometry=true&amp;outSR=4326&amp;f=geojson</x:v>
      </x:c>
      <x:c r="AU117" s="133" t="str">
        <x:v>Aras</x:v>
      </x:c>
      <x:c r="AV117" s="133" t="str">
        <x:v>Polyline / LineString</x:v>
      </x:c>
      <x:c r="AW117" s="133" t="str">
        <x:v>https://cbs1.tarimorman.gov.tr/server/rest/services/TATUS/FeatureServer/8/query?where=HAVZA_ID%3D24&amp;geometry=42.957000%2C41.163000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7" s="133" t="str">
        <x:v>Havza ana akarsuyu ön-eşleme; TATUS spatial query ile doğrulanmalı</x:v>
      </x:c>
      <x:c r="AY117" s="133" t="str">
        <x:v>Polygon</x:v>
      </x:c>
      <x:c r="AZ117" s="133" t="str">
        <x:v>https://cbs1.tarimorman.gov.tr/server/rest/services/TATUS/FeatureServer/9/query?where=1%3D1&amp;geometry=42.957000%2C41.163000&amp;geometryType=esriGeometryPoint&amp;inSR=4326&amp;spatialRel=esriSpatialRelIntersects&amp;outFields=%2A&amp;returnGeometry=true&amp;outSR=4326&amp;resultRecordCount=5&amp;f=geojson</x:v>
      </x:c>
      <x:c r="BA117" s="133" t="str">
        <x:v>Santral popup: Su alanını göster</x:v>
      </x:c>
      <x:c r="BB117" s="133" t="str">
        <x:v>Orta-Düşük</x:v>
      </x:c>
      <x:c r="BC11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18" ht="30" customHeight="1">
      <x:c r="A118" s="100" t="n">
        <x:v>115</x:v>
      </x:c>
      <x:c r="B118" s="32" t="str">
        <x:v>KOYULHİSAR BEREKET HES</x:v>
      </x:c>
      <x:c r="C118" s="32" t="str">
        <x:v>Yeşilırmak</x:v>
      </x:c>
      <x:c r="D118" s="32" t="str">
        <x:v>Yeşilırmak</x:v>
      </x:c>
      <x:c r="E118" s="34" t="n">
        <x:v>14</x:v>
      </x:c>
      <x:c r="F118" s="32" t="str">
        <x:v>https://cbs1.tarimorman.gov.tr/server/rest/services/TATUS/FeatureServer/11/query?where=ID%3D14&amp;outFields=ID%2CHAVZA_ADI%2CALAN_KM2&amp;returnGeometry=true&amp;outSR=4326&amp;f=geojson</x:v>
      </x:c>
      <x:c r="G118" s="32" t="str">
        <x:v>KOYULHİSAR BEREKET</x:v>
      </x:c>
      <x:c r="H118" s="32" t="str">
        <x:v>SİVAS</x:v>
      </x:c>
      <x:c r="I118" s="36" t="n">
        <x:v>40.291</x:v>
      </x:c>
      <x:c r="J118" s="36" t="n">
        <x:v>37.781</x:v>
      </x:c>
      <x:c r="K118" s="38" t="n">
        <x:v>724</x:v>
      </x:c>
      <x:c r="L118" s="38" t="n">
        <x:v>721</x:v>
      </x:c>
      <x:c r="M118" s="32"/>
      <x:c r="N118" s="38" t="n">
        <x:v>63</x:v>
      </x:c>
      <x:c r="O118" s="38"/>
      <x:c r="P118" s="38"/>
      <x:c r="Q118" s="38"/>
      <x:c r="R118" s="38"/>
      <x:c r="S118" s="38"/>
      <x:c r="T118" s="40"/>
      <x:c r="U118" s="32" t="str">
        <x:v>eşleşme yok</x:v>
      </x:c>
      <x:c r="V118" s="32" t="str">
        <x:v>C</x:v>
      </x:c>
      <x:c r="W118" s="32" t="str">
        <x:v>https://news-content.foreks.com/attachments/kap/4028328d9c81f589019cb50969282455.pdf</x:v>
      </x:c>
      <x:c r="X118" s="32" t="str">
        <x:v>https://openinframap.org/stats/area/Turkey/plants?source=hydro</x:v>
      </x:c>
      <x:c r="Y118" s="32" t="str">
        <x:v>hes_MERKEZI_LISTESI.xlsx — trafo merkezi koordinatı (yaklaşık)</x:v>
      </x:c>
      <x:c r="Z118" s="32" t="str">
        <x:v>10</x:v>
      </x:c>
      <x:c r="AA118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18" s="133" t="str">
        <x:v>Trafo merkezi koordinatı ile tamamlandı</x:v>
      </x:c>
      <x:c r="AC118" s="133" t="str">
        <x:v>Trafo merkezi / elektrik bağlantı noktası (yaklaşık)</x:v>
      </x:c>
      <x:c r="AD118" s="133" t="n">
        <x:v>805</x:v>
      </x:c>
      <x:c r="AE118" s="133" t="str">
        <x:v>KOYULHİSAR HES</x:v>
      </x:c>
      <x:c r="AF118" s="133" t="str">
        <x:v>Sivas</x:v>
      </x:c>
      <x:c r="AG118" s="134" t="n">
        <x:v>40.291</x:v>
      </x:c>
      <x:c r="AH118" s="134" t="n">
        <x:v>37.781</x:v>
      </x:c>
      <x:c r="AI118" s="133" t="str">
        <x:v>Kontrollü ad/alias eşleşmesi</x:v>
      </x:c>
      <x:c r="AJ118" s="133" t="str">
        <x:v>Orta-Yüksek</x:v>
      </x:c>
      <x:c r="AK118" s="135"/>
      <x:c r="AL118" s="133" t="str">
        <x:v>Point</x:v>
      </x:c>
      <x:c r="AM118" s="133" t="str">
        <x:v>{"type": "Point", "coordinates": [37.781, 40.291]}</x:v>
      </x:c>
      <x:c r="AN118" s="133" t="str">
        <x:v>Trafo merkezi / elektrik bağlantı noktası (yaklaşık)</x:v>
      </x:c>
      <x:c r="AO118" s="133"/>
      <x:c r="AP118" s="133"/>
      <x:c r="AQ118" s="134"/>
      <x:c r="AR118" s="134"/>
      <x:c r="AS118" s="133"/>
      <x:c r="AT118" s="133" t="str">
        <x:v>https://cbs1.tarimorman.gov.tr/server/rest/services/TATUS/FeatureServer/7/query?where=HAVZA_ID%3D14+AND+%28BarajAdi%3D%27KOYULH%C4%B0SAR+BEREKET%27%29&amp;outFields=OBJECTID%2CBarajAdi%2CHavzaAdi%2CHAVZA_ID%2CIl&amp;returnGeometry=true&amp;outSR=4326&amp;f=geojson</x:v>
      </x:c>
      <x:c r="AU118" s="133" t="str">
        <x:v>Yeşilırmak</x:v>
      </x:c>
      <x:c r="AV118" s="133" t="str">
        <x:v>Polyline / LineString</x:v>
      </x:c>
      <x:c r="AW118" s="133" t="str">
        <x:v>https://cbs1.tarimorman.gov.tr/server/rest/services/TATUS/FeatureServer/8/query?where=HAVZA_ID%3D14&amp;geometry=37.781000%2C40.291000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18" s="133" t="str">
        <x:v>Havza ana akarsuyu ön-eşleme; TATUS spatial query ile doğrulanmalı</x:v>
      </x:c>
      <x:c r="AY118" s="133" t="str">
        <x:v>Polygon</x:v>
      </x:c>
      <x:c r="AZ118" s="133" t="str">
        <x:v>https://cbs1.tarimorman.gov.tr/server/rest/services/TATUS/FeatureServer/9/query?where=1%3D1&amp;geometry=37.781000%2C40.291000&amp;geometryType=esriGeometryPoint&amp;inSR=4326&amp;spatialRel=esriSpatialRelIntersects&amp;outFields=%2A&amp;returnGeometry=true&amp;outSR=4326&amp;resultRecordCount=5&amp;f=geojson</x:v>
      </x:c>
      <x:c r="BA118" s="133" t="str">
        <x:v>Santral popup: Su alanını göster</x:v>
      </x:c>
      <x:c r="BB118" s="133" t="str">
        <x:v>Orta-Düşük</x:v>
      </x:c>
      <x:c r="BC118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19" ht="30" customHeight="1">
      <x:c r="A119" s="100" t="n">
        <x:v>116</x:v>
      </x:c>
      <x:c r="B119" s="32" t="str">
        <x:v>KOZAN HES</x:v>
      </x:c>
      <x:c r="C119" s="32" t="str">
        <x:v>Ceyhan</x:v>
      </x:c>
      <x:c r="D119" s="32" t="str">
        <x:v>Ceyhan</x:v>
      </x:c>
      <x:c r="E119" s="34" t="n">
        <x:v>20</x:v>
      </x:c>
      <x:c r="F119" s="32" t="str">
        <x:v>https://cbs1.tarimorman.gov.tr/server/rest/services/TATUS/FeatureServer/11/query?where=ID%3D20&amp;outFields=ID%2CHAVZA_ADI%2CALAN_KM2&amp;returnGeometry=true&amp;outSR=4326&amp;f=geojson</x:v>
      </x:c>
      <x:c r="G119" s="32" t="str">
        <x:v>KOZAN</x:v>
      </x:c>
      <x:c r="H119" s="32" t="str">
        <x:v>ADANA</x:v>
      </x:c>
      <x:c r="I119" s="36"/>
      <x:c r="J119" s="36"/>
      <x:c r="K119" s="38" t="n">
        <x:v>274</x:v>
      </x:c>
      <x:c r="L119" s="38" t="n">
        <x:v>228</x:v>
      </x:c>
      <x:c r="M119" s="32"/>
      <x:c r="N119" s="38" t="n">
        <x:v>4.8</x:v>
      </x:c>
      <x:c r="O119" s="38" t="n">
        <x:v>8</x:v>
      </x:c>
      <x:c r="P119" s="38" t="n">
        <x:v>152.7</x:v>
      </x:c>
      <x:c r="Q119" s="38" t="n">
        <x:v>0.03</x:v>
      </x:c>
      <x:c r="R119" s="38" t="n">
        <x:v>104.37</x:v>
      </x:c>
      <x:c r="S119" s="38" t="n">
        <x:v>15.41</x:v>
      </x:c>
      <x:c r="T119" s="40" t="n">
        <x:v>46278.81434027778</x:v>
      </x:c>
      <x:c r="U119" s="32" t="str">
        <x:v>exact</x:v>
      </x:c>
      <x:c r="V119" s="32" t="str">
        <x:v>B</x:v>
      </x:c>
      <x:c r="W119" s="32" t="str">
        <x:v>Yüklü Debi_ve_Kurulu_Guc-13092026.xlsx</x:v>
      </x:c>
      <x:c r="X119" s="32" t="str">
        <x:v>Yüklü Debi_ve_Kurulu_Guc-13092026.xlsx</x:v>
      </x:c>
      <x:c r="Y119" s="32"/>
      <x:c r="Z119" s="32" t="str">
        <x:v>10</x:v>
      </x:c>
      <x:c r="AA119" s="101" t="str">
        <x:v>Kaskat alanında kaynak değeri '10' (belirsiz/sentinel); Koordinat güvenilir açık kaynaktan doğrulanamadı</x:v>
      </x:c>
      <x:c r="AB119" s="133" t="str">
        <x:v>Koordinat eksik</x:v>
      </x:c>
      <x:c r="AC119" s="133" t="str">
        <x:v>—</x:v>
      </x:c>
      <x:c r="AD119" s="133"/>
      <x:c r="AE119" s="133"/>
      <x:c r="AF119" s="133"/>
      <x:c r="AG119" s="134"/>
      <x:c r="AH119" s="134"/>
      <x:c r="AI119" s="133"/>
      <x:c r="AJ119" s="133"/>
      <x:c r="AK119" s="135"/>
      <x:c r="AL119" s="133" t="str">
        <x:v>Point</x:v>
      </x:c>
      <x:c r="AM119" s="133"/>
      <x:c r="AN119" s="133" t="str">
        <x:v>Koordinat yok</x:v>
      </x:c>
      <x:c r="AO119" s="133"/>
      <x:c r="AP119" s="133"/>
      <x:c r="AQ119" s="134"/>
      <x:c r="AR119" s="134"/>
      <x:c r="AS119" s="133"/>
      <x:c r="AT119" s="133" t="str">
        <x:v>https://cbs1.tarimorman.gov.tr/server/rest/services/TATUS/FeatureServer/7/query?where=HAVZA_ID%3D20+AND+%28BarajAdi%3D%27KOZAN%27%29&amp;outFields=OBJECTID%2CBarajAdi%2CHavzaAdi%2CHAVZA_ID%2CIl&amp;returnGeometry=true&amp;outSR=4326&amp;f=geojson</x:v>
      </x:c>
      <x:c r="AU119" s="133" t="str">
        <x:v>Ceyhan</x:v>
      </x:c>
      <x:c r="AV119" s="133" t="str">
        <x:v>Polyline / LineString</x:v>
      </x:c>
      <x:c r="AW119" s="133"/>
      <x:c r="AX119" s="133" t="str">
        <x:v>Havza ana akarsuyu ön-eşleme; TATUS spatial query ile doğrulanmalı</x:v>
      </x:c>
      <x:c r="AY119" s="133" t="str">
        <x:v>Polygon</x:v>
      </x:c>
      <x:c r="AZ119" s="133"/>
      <x:c r="BA119" s="133" t="str">
        <x:v>Santral popup: Su alanını göster</x:v>
      </x:c>
      <x:c r="BB119" s="133" t="str">
        <x:v>Yok</x:v>
      </x:c>
      <x:c r="BC119" s="133" t="str">
        <x:v>TATUS baraj point doğrudan eşleşmesi bu çalışma kitabında çözülmedi; sorgu URL'si eklendi; Koordinat eksik olduğu için akarsu ve su toplama alanı spatial sorgusu üretilemedi</x:v>
      </x:c>
    </x:row>
    <x:row r="120" ht="30" customHeight="1">
      <x:c r="A120" s="100" t="n">
        <x:v>117</x:v>
      </x:c>
      <x:c r="B120" s="32" t="str">
        <x:v>KOZBÜKÜ HES</x:v>
      </x:c>
      <x:c r="C120" s="32" t="str">
        <x:v>Doğu Karadeniz</x:v>
      </x:c>
      <x:c r="D120" s="32" t="str">
        <x:v>Doğu Karadeniz</x:v>
      </x:c>
      <x:c r="E120" s="34" t="n">
        <x:v>22</x:v>
      </x:c>
      <x:c r="F120" s="32" t="str">
        <x:v>https://cbs1.tarimorman.gov.tr/server/rest/services/TATUS/FeatureServer/11/query?where=ID%3D22&amp;outFields=ID%2CHAVZA_ADI%2CALAN_KM2&amp;returnGeometry=true&amp;outSR=4326&amp;f=geojson</x:v>
      </x:c>
      <x:c r="G120" s="32" t="str">
        <x:v>KOZBÜKÜ</x:v>
      </x:c>
      <x:c r="H120" s="32" t="str">
        <x:v>ORDU</x:v>
      </x:c>
      <x:c r="I120" s="36" t="n">
        <x:v>40.843</x:v>
      </x:c>
      <x:c r="J120" s="36" t="n">
        <x:v>37.815</x:v>
      </x:c>
      <x:c r="K120" s="38" t="n">
        <x:v>327</x:v>
      </x:c>
      <x:c r="L120" s="38" t="n">
        <x:v>318</x:v>
      </x:c>
      <x:c r="M120" s="32"/>
      <x:c r="N120" s="38" t="n">
        <x:v>81</x:v>
      </x:c>
      <x:c r="O120" s="38"/>
      <x:c r="P120" s="38"/>
      <x:c r="Q120" s="38"/>
      <x:c r="R120" s="38"/>
      <x:c r="S120" s="38"/>
      <x:c r="T120" s="40"/>
      <x:c r="U120" s="32" t="str">
        <x:v>eşleşme yok</x:v>
      </x:c>
      <x:c r="V120" s="32" t="str">
        <x:v>C</x:v>
      </x:c>
      <x:c r="W120" s="32" t="str">
        <x:v>https://www.enerjiatlasi.com/hidroelektrik/?v=1.0.24</x:v>
      </x:c>
      <x:c r="X120" s="32" t="str">
        <x:v>https://openinframap.org/stats/area/Turkey/plants?source=hydro</x:v>
      </x:c>
      <x:c r="Y120" s="32" t="str">
        <x:v>hes_MERKEZI_LISTESI.xlsx — trafo merkezi koordinatı (yaklaşık)</x:v>
      </x:c>
      <x:c r="Z120" s="32" t="str">
        <x:v>10</x:v>
      </x:c>
      <x:c r="AA120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20" s="133" t="str">
        <x:v>Trafo merkezi koordinatı ile tamamlandı</x:v>
      </x:c>
      <x:c r="AC120" s="133" t="str">
        <x:v>Trafo merkezi / elektrik bağlantı noktası (yaklaşık)</x:v>
      </x:c>
      <x:c r="AD120" s="133" t="n">
        <x:v>1383</x:v>
      </x:c>
      <x:c r="AE120" s="133" t="str">
        <x:v>KOZBÜKÜ HES</x:v>
      </x:c>
      <x:c r="AF120" s="133" t="str">
        <x:v>Ordu</x:v>
      </x:c>
      <x:c r="AG120" s="134" t="n">
        <x:v>40.843</x:v>
      </x:c>
      <x:c r="AH120" s="134" t="n">
        <x:v>37.815</x:v>
      </x:c>
      <x:c r="AI120" s="133" t="str">
        <x:v>Tam ad eşleşmesi</x:v>
      </x:c>
      <x:c r="AJ120" s="133" t="str">
        <x:v>Yüksek</x:v>
      </x:c>
      <x:c r="AK120" s="135"/>
      <x:c r="AL120" s="133" t="str">
        <x:v>Point</x:v>
      </x:c>
      <x:c r="AM120" s="133" t="str">
        <x:v>{"type": "Point", "coordinates": [37.815, 40.843]}</x:v>
      </x:c>
      <x:c r="AN120" s="133" t="str">
        <x:v>Trafo merkezi / elektrik bağlantı noktası (yaklaşık)</x:v>
      </x:c>
      <x:c r="AO120" s="133"/>
      <x:c r="AP120" s="133"/>
      <x:c r="AQ120" s="134"/>
      <x:c r="AR120" s="134"/>
      <x:c r="AS120" s="133"/>
      <x:c r="AT120" s="133" t="str">
        <x:v>https://cbs1.tarimorman.gov.tr/server/rest/services/TATUS/FeatureServer/7/query?where=HAVZA_ID%3D22+AND+%28BarajAdi%3D%27KOZB%C3%9CK%C3%9C%27%29&amp;outFields=OBJECTID%2CBarajAdi%2CHavzaAdi%2CHAVZA_ID%2CIl&amp;returnGeometry=true&amp;outSR=4326&amp;f=geojson</x:v>
      </x:c>
      <x:c r="AU120" s="133"/>
      <x:c r="AV120" s="133" t="str">
        <x:v>Polyline / LineString</x:v>
      </x:c>
      <x:c r="AW120" s="133" t="str">
        <x:v>https://cbs1.tarimorman.gov.tr/server/rest/services/TATUS/FeatureServer/8/query?where=HAVZA_ID%3D22&amp;geometry=37.815000%2C40.843000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0" s="133" t="str">
        <x:v>TATUS spatial query hazır; en yakın/uygun LineString seçilmeli</x:v>
      </x:c>
      <x:c r="AY120" s="133" t="str">
        <x:v>Polygon</x:v>
      </x:c>
      <x:c r="AZ120" s="133" t="str">
        <x:v>https://cbs1.tarimorman.gov.tr/server/rest/services/TATUS/FeatureServer/9/query?where=1%3D1&amp;geometry=37.815000%2C40.843000&amp;geometryType=esriGeometryPoint&amp;inSR=4326&amp;spatialRel=esriSpatialRelIntersects&amp;outFields=%2A&amp;returnGeometry=true&amp;outSR=4326&amp;resultRecordCount=5&amp;f=geojson</x:v>
      </x:c>
      <x:c r="BA120" s="133" t="str">
        <x:v>Santral popup: Su alanını göster</x:v>
      </x:c>
      <x:c r="BB120" s="133" t="str">
        <x:v>Orta-Düşük</x:v>
      </x:c>
      <x:c r="BC120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21" ht="30" customHeight="1">
      <x:c r="A121" s="100" t="n">
        <x:v>118</x:v>
      </x:c>
      <x:c r="B121" s="32" t="str">
        <x:v>KÖKLÜCE HES</x:v>
      </x:c>
      <x:c r="C121" s="32" t="str">
        <x:v>Yeşilırmak</x:v>
      </x:c>
      <x:c r="D121" s="32" t="str">
        <x:v>Yeşilırmak</x:v>
      </x:c>
      <x:c r="E121" s="34" t="n">
        <x:v>14</x:v>
      </x:c>
      <x:c r="F121" s="32" t="str">
        <x:v>https://cbs1.tarimorman.gov.tr/server/rest/services/TATUS/FeatureServer/11/query?where=ID%3D14&amp;outFields=ID%2CHAVZA_ADI%2CALAN_KM2&amp;returnGeometry=true&amp;outSR=4326&amp;f=geojson</x:v>
      </x:c>
      <x:c r="G121" s="32" t="str">
        <x:v>ATAKÖY</x:v>
      </x:c>
      <x:c r="H121" s="32" t="str">
        <x:v>TOKAT</x:v>
      </x:c>
      <x:c r="I121" s="36" t="n">
        <x:v>40.42512</x:v>
      </x:c>
      <x:c r="J121" s="36" t="n">
        <x:v>36.88133</x:v>
      </x:c>
      <x:c r="K121" s="38" t="n">
        <x:v>733.5</x:v>
      </x:c>
      <x:c r="L121" s="38" t="n">
        <x:v>729.75</x:v>
      </x:c>
      <x:c r="M121" s="32"/>
      <x:c r="N121" s="38" t="n">
        <x:v>5.5</x:v>
      </x:c>
      <x:c r="O121" s="38" t="n">
        <x:v>27.1</x:v>
      </x:c>
      <x:c r="P121" s="38" t="n">
        <x:v>1.93</x:v>
      </x:c>
      <x:c r="Q121" s="38" t="n">
        <x:v>0.82</x:v>
      </x:c>
      <x:c r="R121" s="38" t="n">
        <x:v>1.06</x:v>
      </x:c>
      <x:c r="S121" s="38" t="n">
        <x:v>0.04</x:v>
      </x:c>
      <x:c r="T121" s="40" t="n">
        <x:v>46278.81434027778</x:v>
      </x:c>
      <x:c r="U121" s="32" t="str">
        <x:v>alias</x:v>
      </x:c>
      <x:c r="V121" s="32" t="str">
        <x:v>A</x:v>
      </x:c>
      <x:c r="W121" s="32" t="str">
        <x:v>Yüklü Debi_ve_Kurulu_Guc-13092026.xlsx</x:v>
      </x:c>
      <x:c r="X121" s="32" t="str">
        <x:v>Yüklü Debi_ve_Kurulu_Guc-13092026.xlsx</x:v>
      </x:c>
      <x:c r="Y121" s="32" t="str">
        <x:v>https://cbs1.tarimorman.gov.tr/server/rest/services/TATUS/FeatureServer/7</x:v>
      </x:c>
      <x:c r="Z121" s="32" t="str">
        <x:v>10</x:v>
      </x:c>
      <x:c r="AA121" s="101" t="str">
        <x:v>Baraj adı eşleşmesi: ATAKÖY; Kaskat alanında kaynak değeri '10' (belirsiz/sentinel)</x:v>
      </x:c>
      <x:c r="AB121" s="133" t="str">
        <x:v>Doğrulanmış koordinat mevcut</x:v>
      </x:c>
      <x:c r="AC121" s="133" t="str">
        <x:v>HES / baraj noktası</x:v>
      </x:c>
      <x:c r="AD121" s="133" t="n">
        <x:v>795</x:v>
      </x:c>
      <x:c r="AE121" s="133" t="str">
        <x:v>KÖKLÜCE HES</x:v>
      </x:c>
      <x:c r="AF121" s="133" t="str">
        <x:v>Tokat</x:v>
      </x:c>
      <x:c r="AG121" s="134" t="n">
        <x:v>40.494</x:v>
      </x:c>
      <x:c r="AH121" s="134" t="n">
        <x:v>36.927</x:v>
      </x:c>
      <x:c r="AI121" s="133" t="str">
        <x:v>Tam ad eşleşmesi</x:v>
      </x:c>
      <x:c r="AJ121" s="133" t="str">
        <x:v>Yüksek</x:v>
      </x:c>
      <x:c r="AK121" s="135" t="n">
        <x:v>8.579</x:v>
      </x:c>
      <x:c r="AL121" s="133" t="str">
        <x:v>Point</x:v>
      </x:c>
      <x:c r="AM121" s="133" t="str">
        <x:v>{"type": "Point", "coordinates": [36.88133, 40.42512]}</x:v>
      </x:c>
      <x:c r="AN121" s="133" t="str">
        <x:v>TATUS Baraj Gözlem Point</x:v>
      </x:c>
      <x:c r="AO121" s="133" t="str">
        <x:v>ATAKÖY</x:v>
      </x:c>
      <x:c r="AP121" s="133" t="n">
        <x:v>1</x:v>
      </x:c>
      <x:c r="AQ121" s="134" t="n">
        <x:v>40.42512</x:v>
      </x:c>
      <x:c r="AR121" s="134" t="n">
        <x:v>36.88133</x:v>
      </x:c>
      <x:c r="AS121" s="133" t="str">
        <x:v>{"type": "Point", "coordinates": [36.88133, 40.42512]}</x:v>
      </x:c>
      <x:c r="AT121" s="133" t="str">
        <x:v>https://cbs1.tarimorman.gov.tr/server/rest/services/TATUS/FeatureServer/7/query?where=HAVZA_ID%3D14+AND+%28BarajAdi%3D%27ATAK%C3%96Y%27+OR+BarajAdi%3D%27K%C3%96KL%C3%9CCE%27%29&amp;outFields=OBJECTID%2CBarajAdi%2CHavzaAdi%2CHAVZA_ID%2CIl&amp;returnGeometry=true&amp;outSR=4326&amp;f=geojson</x:v>
      </x:c>
      <x:c r="AU121" s="133" t="str">
        <x:v>Yeşilırmak</x:v>
      </x:c>
      <x:c r="AV121" s="133" t="str">
        <x:v>Polyline / LineString</x:v>
      </x:c>
      <x:c r="AW121" s="133" t="str">
        <x:v>https://cbs1.tarimorman.gov.tr/server/rest/services/TATUS/FeatureServer/8/query?where=HAVZA_ID%3D14&amp;geometry=36.881330%2C40.425120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1" s="133" t="str">
        <x:v>Havza ana akarsuyu ön-eşleme; TATUS spatial query ile doğrulanmalı</x:v>
      </x:c>
      <x:c r="AY121" s="133" t="str">
        <x:v>Polygon</x:v>
      </x:c>
      <x:c r="AZ121" s="133" t="str">
        <x:v>https://cbs1.tarimorman.gov.tr/server/rest/services/TATUS/FeatureServer/9/query?where=1%3D1&amp;geometry=36.881330%2C40.425120&amp;geometryType=esriGeometryPoint&amp;inSR=4326&amp;spatialRel=esriSpatialRelIntersects&amp;outFields=%2A&amp;returnGeometry=true&amp;outSR=4326&amp;resultRecordCount=5&amp;f=geojson</x:v>
      </x:c>
      <x:c r="BA121" s="133" t="str">
        <x:v>Santral popup: Su alanını göster</x:v>
      </x:c>
      <x:c r="BB121" s="133" t="str">
        <x:v>Yüksek</x:v>
      </x:c>
      <x:c r="BC121" s="133"/>
    </x:row>
    <x:row r="122" ht="30" customHeight="1">
      <x:c r="A122" s="100" t="n">
        <x:v>119</x:v>
      </x:c>
      <x:c r="B122" s="32" t="str">
        <x:v>KÖPRÜBAŞI HES (BOLU)</x:v>
      </x:c>
      <x:c r="C122" s="32" t="str">
        <x:v>Batı Karadeniz</x:v>
      </x:c>
      <x:c r="D122" s="32" t="str">
        <x:v>Batı Karadeniz</x:v>
      </x:c>
      <x:c r="E122" s="34" t="n">
        <x:v>13</x:v>
      </x:c>
      <x:c r="F122" s="32" t="str">
        <x:v>https://cbs1.tarimorman.gov.tr/server/rest/services/TATUS/FeatureServer/11/query?where=ID%3D13&amp;outFields=ID%2CHAVZA_ADI%2CALAN_KM2&amp;returnGeometry=true&amp;outSR=4326&amp;f=geojson</x:v>
      </x:c>
      <x:c r="G122" s="32" t="str">
        <x:v>KÖPRÜBAŞI</x:v>
      </x:c>
      <x:c r="H122" s="32" t="str">
        <x:v>BOLU</x:v>
      </x:c>
      <x:c r="I122" s="36" t="n">
        <x:v>40.994</x:v>
      </x:c>
      <x:c r="J122" s="36" t="n">
        <x:v>31.905</x:v>
      </x:c>
      <x:c r="K122" s="38" t="n">
        <x:v>445</x:v>
      </x:c>
      <x:c r="L122" s="38" t="n">
        <x:v>400</x:v>
      </x:c>
      <x:c r="M122" s="32"/>
      <x:c r="N122" s="38" t="n">
        <x:v>74</x:v>
      </x:c>
      <x:c r="O122" s="38" t="n">
        <x:v>43</x:v>
      </x:c>
      <x:c r="P122" s="38" t="n">
        <x:v>244.94</x:v>
      </x:c>
      <x:c r="Q122" s="38" t="n">
        <x:v>56.34</x:v>
      </x:c>
      <x:c r="R122" s="38" t="n">
        <x:v>116.28</x:v>
      </x:c>
      <x:c r="S122" s="38" t="n">
        <x:v>61.46</x:v>
      </x:c>
      <x:c r="T122" s="40" t="n">
        <x:v>46278.81434027778</x:v>
      </x:c>
      <x:c r="U122" s="32" t="str">
        <x:v>alias</x:v>
      </x:c>
      <x:c r="V122" s="32" t="str">
        <x:v>B</x:v>
      </x:c>
      <x:c r="W122" s="32" t="str">
        <x:v>Yüklü Debi_ve_Kurulu_Guc-13092026.xlsx</x:v>
      </x:c>
      <x:c r="X122" s="32" t="str">
        <x:v>Yüklü Debi_ve_Kurulu_Guc-13092026.xlsx</x:v>
      </x:c>
      <x:c r="Y122" s="32" t="str">
        <x:v>hes_MERKEZI_LISTESI.xlsx — trafo merkezi koordinatı (yaklaşık)</x:v>
      </x:c>
      <x:c r="Z122" s="32" t="str">
        <x:v>10</x:v>
      </x:c>
      <x:c r="AA122" s="101" t="str">
        <x:v>Baraj adı eşleşmesi: KÖPRÜBAŞI;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22" s="133" t="str">
        <x:v>Trafo merkezi koordinatı ile tamamlandı</x:v>
      </x:c>
      <x:c r="AC122" s="133" t="str">
        <x:v>Trafo merkezi / elektrik bağlantı noktası (yaklaşık)</x:v>
      </x:c>
      <x:c r="AD122" s="133" t="n">
        <x:v>537</x:v>
      </x:c>
      <x:c r="AE122" s="133" t="str">
        <x:v>KÖPRÜBAŞI HES</x:v>
      </x:c>
      <x:c r="AF122" s="133" t="str">
        <x:v>Bolu</x:v>
      </x:c>
      <x:c r="AG122" s="134" t="n">
        <x:v>40.994</x:v>
      </x:c>
      <x:c r="AH122" s="134" t="n">
        <x:v>31.905</x:v>
      </x:c>
      <x:c r="AI122" s="133" t="str">
        <x:v>Kontrollü ad/alias eşleşmesi</x:v>
      </x:c>
      <x:c r="AJ122" s="133" t="str">
        <x:v>Orta-Yüksek</x:v>
      </x:c>
      <x:c r="AK122" s="135"/>
      <x:c r="AL122" s="133" t="str">
        <x:v>Point</x:v>
      </x:c>
      <x:c r="AM122" s="133" t="str">
        <x:v>{"type": "Point", "coordinates": [31.905, 40.994]}</x:v>
      </x:c>
      <x:c r="AN122" s="133" t="str">
        <x:v>Trafo merkezi / elektrik bağlantı noktası (yaklaşık)</x:v>
      </x:c>
      <x:c r="AO122" s="133"/>
      <x:c r="AP122" s="133"/>
      <x:c r="AQ122" s="134"/>
      <x:c r="AR122" s="134"/>
      <x:c r="AS122" s="133"/>
      <x:c r="AT122" s="133" t="str">
        <x:v>https://cbs1.tarimorman.gov.tr/server/rest/services/TATUS/FeatureServer/7/query?where=HAVZA_ID%3D13+AND+%28BarajAdi%3D%27K%C3%96PR%C3%9CBA%C5%9EI%27+OR+BarajAdi%3D%27K%C3%96PR%C3%9CBA%C5%9EI+HES+%28BOLU%29%27%29&amp;outFields=OBJECTID%2CBarajAdi%2CHavzaAdi%2CHAVZA_ID%2CIl&amp;returnGeometry=true&amp;outSR=4326&amp;f=geojson</x:v>
      </x:c>
      <x:c r="AU122" s="133"/>
      <x:c r="AV122" s="133" t="str">
        <x:v>Polyline / LineString</x:v>
      </x:c>
      <x:c r="AW122" s="133" t="str">
        <x:v>https://cbs1.tarimorman.gov.tr/server/rest/services/TATUS/FeatureServer/8/query?where=HAVZA_ID%3D13&amp;geometry=31.905000%2C40.994000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2" s="133" t="str">
        <x:v>TATUS spatial query hazır; en yakın/uygun LineString seçilmeli</x:v>
      </x:c>
      <x:c r="AY122" s="133" t="str">
        <x:v>Polygon</x:v>
      </x:c>
      <x:c r="AZ122" s="133" t="str">
        <x:v>https://cbs1.tarimorman.gov.tr/server/rest/services/TATUS/FeatureServer/9/query?where=1%3D1&amp;geometry=31.905000%2C40.994000&amp;geometryType=esriGeometryPoint&amp;inSR=4326&amp;spatialRel=esriSpatialRelIntersects&amp;outFields=%2A&amp;returnGeometry=true&amp;outSR=4326&amp;resultRecordCount=5&amp;f=geojson</x:v>
      </x:c>
      <x:c r="BA122" s="133" t="str">
        <x:v>Santral popup: Su alanını göster</x:v>
      </x:c>
      <x:c r="BB122" s="133" t="str">
        <x:v>Orta-Düşük</x:v>
      </x:c>
      <x:c r="BC12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23" ht="30" customHeight="1">
      <x:c r="A123" s="100" t="n">
        <x:v>120</x:v>
      </x:c>
      <x:c r="B123" s="32" t="str">
        <x:v>KÖPRÜ HES</x:v>
      </x:c>
      <x:c r="C123" s="32" t="str">
        <x:v>Seyhan</x:v>
      </x:c>
      <x:c r="D123" s="32" t="str">
        <x:v>Seyhan</x:v>
      </x:c>
      <x:c r="E123" s="34" t="n">
        <x:v>18</x:v>
      </x:c>
      <x:c r="F123" s="32" t="str">
        <x:v>https://cbs1.tarimorman.gov.tr/server/rest/services/TATUS/FeatureServer/11/query?where=ID%3D18&amp;outFields=ID%2CHAVZA_ADI%2CALAN_KM2&amp;returnGeometry=true&amp;outSR=4326&amp;f=geojson</x:v>
      </x:c>
      <x:c r="G123" s="32" t="str">
        <x:v>KÖPRÜ</x:v>
      </x:c>
      <x:c r="H123" s="32" t="str">
        <x:v>ADANA</x:v>
      </x:c>
      <x:c r="I123" s="36" t="n">
        <x:v>37.6202</x:v>
      </x:c>
      <x:c r="J123" s="36" t="n">
        <x:v>35.613631</x:v>
      </x:c>
      <x:c r="K123" s="38" t="n">
        <x:v>410</x:v>
      </x:c>
      <x:c r="L123" s="38" t="n">
        <x:v>390</x:v>
      </x:c>
      <x:c r="M123" s="32" t="str">
        <x:v>KAVŞAKBENDİ HES</x:v>
      </x:c>
      <x:c r="N123" s="38" t="n">
        <x:v>155.8</x:v>
      </x:c>
      <x:c r="O123" s="38" t="n">
        <x:v>190</x:v>
      </x:c>
      <x:c r="P123" s="38" t="n">
        <x:v>93.19</x:v>
      </x:c>
      <x:c r="Q123" s="38" t="n">
        <x:v>45.95</x:v>
      </x:c>
      <x:c r="R123" s="38" t="n">
        <x:v>34.25</x:v>
      </x:c>
      <x:c r="S123" s="38" t="n">
        <x:v>7.71</x:v>
      </x:c>
      <x:c r="T123" s="40" t="n">
        <x:v>46278.81434027778</x:v>
      </x:c>
      <x:c r="U123" s="32" t="str">
        <x:v>exact</x:v>
      </x:c>
      <x:c r="V123" s="32" t="str">
        <x:v>A</x:v>
      </x:c>
      <x:c r="W123" s="32" t="str">
        <x:v>Yüklü Debi_ve_Kurulu_Guc-13092026.xlsx</x:v>
      </x:c>
      <x:c r="X123" s="32" t="str">
        <x:v>Yüklü Debi_ve_Kurulu_Guc-13092026.xlsx</x:v>
      </x:c>
      <x:c r="Y123" s="32" t="str">
        <x:v>https://turkiyebarajlar.com/baraj/kopru</x:v>
      </x:c>
      <x:c r="Z123" s="32" t="str">
        <x:v>KAVŞAKBENDİ HES</x:v>
      </x:c>
      <x:c r="AA123" s="101"/>
      <x:c r="AB123" s="133" t="str">
        <x:v>Doğrulanmış koordinat mevcut</x:v>
      </x:c>
      <x:c r="AC123" s="133" t="str">
        <x:v>HES / baraj noktası</x:v>
      </x:c>
      <x:c r="AD123" s="133" t="n">
        <x:v>474</x:v>
      </x:c>
      <x:c r="AE123" s="133" t="str">
        <x:v>KÖPRÜ HES</x:v>
      </x:c>
      <x:c r="AF123" s="133" t="str">
        <x:v>Adana</x:v>
      </x:c>
      <x:c r="AG123" s="134" t="n">
        <x:v>37.618</x:v>
      </x:c>
      <x:c r="AH123" s="134" t="n">
        <x:v>35.613</x:v>
      </x:c>
      <x:c r="AI123" s="133" t="str">
        <x:v>Tam ad eşleşmesi</x:v>
      </x:c>
      <x:c r="AJ123" s="133" t="str">
        <x:v>Yüksek</x:v>
      </x:c>
      <x:c r="AK123" s="135" t="n">
        <x:v>0.251</x:v>
      </x:c>
      <x:c r="AL123" s="133" t="str">
        <x:v>Point</x:v>
      </x:c>
      <x:c r="AM123" s="133" t="str">
        <x:v>{"type": "Point", "coordinates": [35.613631, 37.6202]}</x:v>
      </x:c>
      <x:c r="AN123" s="133" t="str">
        <x:v>HES / baraj noktası</x:v>
      </x:c>
      <x:c r="AO123" s="133"/>
      <x:c r="AP123" s="133"/>
      <x:c r="AQ123" s="134"/>
      <x:c r="AR123" s="134"/>
      <x:c r="AS123" s="133"/>
      <x:c r="AT123" s="133" t="str">
        <x:v>https://cbs1.tarimorman.gov.tr/server/rest/services/TATUS/FeatureServer/7/query?where=HAVZA_ID%3D18+AND+%28BarajAdi%3D%27K%C3%96PR%C3%9C%27%29&amp;outFields=OBJECTID%2CBarajAdi%2CHavzaAdi%2CHAVZA_ID%2CIl&amp;returnGeometry=true&amp;outSR=4326&amp;f=geojson</x:v>
      </x:c>
      <x:c r="AU123" s="133" t="str">
        <x:v>Seyhan</x:v>
      </x:c>
      <x:c r="AV123" s="133" t="str">
        <x:v>Polyline / LineString</x:v>
      </x:c>
      <x:c r="AW123" s="133" t="str">
        <x:v>https://cbs1.tarimorman.gov.tr/server/rest/services/TATUS/FeatureServer/8/query?where=HAVZA_ID%3D18&amp;geometry=35.613631%2C37.620200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3" s="133" t="str">
        <x:v>Havza ana akarsuyu ön-eşleme; TATUS spatial query ile doğrulanmalı</x:v>
      </x:c>
      <x:c r="AY123" s="133" t="str">
        <x:v>Polygon</x:v>
      </x:c>
      <x:c r="AZ123" s="133" t="str">
        <x:v>https://cbs1.tarimorman.gov.tr/server/rest/services/TATUS/FeatureServer/9/query?where=1%3D1&amp;geometry=35.613631%2C37.620200&amp;geometryType=esriGeometryPoint&amp;inSR=4326&amp;spatialRel=esriSpatialRelIntersects&amp;outFields=%2A&amp;returnGeometry=true&amp;outSR=4326&amp;resultRecordCount=5&amp;f=geojson</x:v>
      </x:c>
      <x:c r="BA123" s="133" t="str">
        <x:v>Santral popup: Su alanını göster</x:v>
      </x:c>
      <x:c r="BB123" s="133" t="str">
        <x:v>Yüksek</x:v>
      </x:c>
      <x:c r="BC123" s="133" t="str">
        <x:v>TATUS baraj point doğrudan eşleşmesi bu çalışma kitabında çözülmedi; sorgu URL'si eklendi</x:v>
      </x:c>
    </x:row>
    <x:row r="124" ht="30" customHeight="1">
      <x:c r="A124" s="100" t="n">
        <x:v>121</x:v>
      </x:c>
      <x:c r="B124" s="32" t="str">
        <x:v>KRALKIZI HES</x:v>
      </x:c>
      <x:c r="C124" s="32" t="str">
        <x:v>Fırat Dicle</x:v>
      </x:c>
      <x:c r="D124" s="32" t="str">
        <x:v>Fırat-Dicle</x:v>
      </x:c>
      <x:c r="E124" s="34" t="n">
        <x:v>21</x:v>
      </x:c>
      <x:c r="F124" s="32" t="str">
        <x:v>https://cbs1.tarimorman.gov.tr/server/rest/services/TATUS/FeatureServer/11/query?where=ID%3D21&amp;outFields=ID%2CHAVZA_ADI%2CALAN_KM2&amp;returnGeometry=true&amp;outSR=4326&amp;f=geojson</x:v>
      </x:c>
      <x:c r="G124" s="32" t="str">
        <x:v>KRALKIZI</x:v>
      </x:c>
      <x:c r="H124" s="32" t="str">
        <x:v>DİYARBAKIR</x:v>
      </x:c>
      <x:c r="I124" s="36" t="n">
        <x:v>38.346</x:v>
      </x:c>
      <x:c r="J124" s="36" t="n">
        <x:v>40.026</x:v>
      </x:c>
      <x:c r="K124" s="38" t="n">
        <x:v>815.75</x:v>
      </x:c>
      <x:c r="L124" s="38" t="n">
        <x:v>765</x:v>
      </x:c>
      <x:c r="M124" s="32" t="str">
        <x:v>DİCLE HES</x:v>
      </x:c>
      <x:c r="N124" s="38" t="n">
        <x:v>94</x:v>
      </x:c>
      <x:c r="O124" s="38"/>
      <x:c r="P124" s="38"/>
      <x:c r="Q124" s="38"/>
      <x:c r="R124" s="38"/>
      <x:c r="S124" s="38"/>
      <x:c r="T124" s="40"/>
      <x:c r="U124" s="32" t="str">
        <x:v>eşleşme yok</x:v>
      </x:c>
      <x:c r="V124" s="32" t="str">
        <x:v>C</x:v>
      </x:c>
      <x:c r="W124" s="32" t="str">
        <x:v>https://openinframap.org/stats/area/Turkey/plants?source=hydro</x:v>
      </x:c>
      <x:c r="X124" s="32" t="str">
        <x:v>https://openinframap.org/stats/area/Turkey/plants?source=hydro</x:v>
      </x:c>
      <x:c r="Y124" s="32" t="str">
        <x:v>hes_MERKEZI_LISTESI.xlsx — trafo merkezi koordinatı (yaklaşık)</x:v>
      </x:c>
      <x:c r="Z124" s="32" t="str">
        <x:v>DİCLE HES</x:v>
      </x:c>
      <x:c r="AA124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24" s="133" t="str">
        <x:v>Trafo merkezi koordinatı ile tamamlandı</x:v>
      </x:c>
      <x:c r="AC124" s="133" t="str">
        <x:v>Trafo merkezi / elektrik bağlantı noktası (yaklaşık)</x:v>
      </x:c>
      <x:c r="AD124" s="133" t="n">
        <x:v>89</x:v>
      </x:c>
      <x:c r="AE124" s="133" t="str">
        <x:v>KRALKIZI HES</x:v>
      </x:c>
      <x:c r="AF124" s="133" t="str">
        <x:v>Diyarbakır</x:v>
      </x:c>
      <x:c r="AG124" s="134" t="n">
        <x:v>38.346</x:v>
      </x:c>
      <x:c r="AH124" s="134" t="n">
        <x:v>40.026</x:v>
      </x:c>
      <x:c r="AI124" s="133" t="str">
        <x:v>Tam ad eşleşmesi</x:v>
      </x:c>
      <x:c r="AJ124" s="133" t="str">
        <x:v>Yüksek</x:v>
      </x:c>
      <x:c r="AK124" s="135"/>
      <x:c r="AL124" s="133" t="str">
        <x:v>Point</x:v>
      </x:c>
      <x:c r="AM124" s="133" t="str">
        <x:v>{"type": "Point", "coordinates": [40.026, 38.346]}</x:v>
      </x:c>
      <x:c r="AN124" s="133" t="str">
        <x:v>Trafo merkezi / elektrik bağlantı noktası (yaklaşık)</x:v>
      </x:c>
      <x:c r="AO124" s="133"/>
      <x:c r="AP124" s="133"/>
      <x:c r="AQ124" s="134"/>
      <x:c r="AR124" s="134"/>
      <x:c r="AS124" s="133"/>
      <x:c r="AT124" s="133" t="str">
        <x:v>https://cbs1.tarimorman.gov.tr/server/rest/services/TATUS/FeatureServer/7/query?where=HAVZA_ID%3D21+AND+%28BarajAdi%3D%27KRALKIZI%27%29&amp;outFields=OBJECTID%2CBarajAdi%2CHavzaAdi%2CHAVZA_ID%2CIl&amp;returnGeometry=true&amp;outSR=4326&amp;f=geojson</x:v>
      </x:c>
      <x:c r="AU124" s="133"/>
      <x:c r="AV124" s="133" t="str">
        <x:v>Polyline / LineString</x:v>
      </x:c>
      <x:c r="AW124" s="133" t="str">
        <x:v>https://cbs1.tarimorman.gov.tr/server/rest/services/TATUS/FeatureServer/8/query?where=HAVZA_ID%3D21&amp;geometry=40.026000%2C38.346000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4" s="133" t="str">
        <x:v>TATUS spatial query hazır; en yakın/uygun LineString seçilmeli</x:v>
      </x:c>
      <x:c r="AY124" s="133" t="str">
        <x:v>Polygon</x:v>
      </x:c>
      <x:c r="AZ124" s="133" t="str">
        <x:v>https://cbs1.tarimorman.gov.tr/server/rest/services/TATUS/FeatureServer/9/query?where=1%3D1&amp;geometry=40.026000%2C38.346000&amp;geometryType=esriGeometryPoint&amp;inSR=4326&amp;spatialRel=esriSpatialRelIntersects&amp;outFields=%2A&amp;returnGeometry=true&amp;outSR=4326&amp;resultRecordCount=5&amp;f=geojson</x:v>
      </x:c>
      <x:c r="BA124" s="133" t="str">
        <x:v>Santral popup: Su alanını göster</x:v>
      </x:c>
      <x:c r="BB124" s="133" t="str">
        <x:v>Orta-Düşük</x:v>
      </x:c>
      <x:c r="BC124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25" ht="30" customHeight="1">
      <x:c r="A125" s="100" t="n">
        <x:v>122</x:v>
      </x:c>
      <x:c r="B125" s="32" t="str">
        <x:v>KUZGUN HES</x:v>
      </x:c>
      <x:c r="C125" s="32" t="str">
        <x:v>Fırat Dicle</x:v>
      </x:c>
      <x:c r="D125" s="32" t="str">
        <x:v>Fırat-Dicle</x:v>
      </x:c>
      <x:c r="E125" s="34" t="n">
        <x:v>21</x:v>
      </x:c>
      <x:c r="F125" s="32" t="str">
        <x:v>https://cbs1.tarimorman.gov.tr/server/rest/services/TATUS/FeatureServer/11/query?where=ID%3D21&amp;outFields=ID%2CHAVZA_ADI%2CALAN_KM2&amp;returnGeometry=true&amp;outSR=4326&amp;f=geojson</x:v>
      </x:c>
      <x:c r="G125" s="32" t="str">
        <x:v>KUZGUN</x:v>
      </x:c>
      <x:c r="H125" s="32" t="str">
        <x:v>ERZURUM</x:v>
      </x:c>
      <x:c r="I125" s="36" t="n">
        <x:v>40.184</x:v>
      </x:c>
      <x:c r="J125" s="36" t="n">
        <x:v>41.064</x:v>
      </x:c>
      <x:c r="K125" s="38" t="n">
        <x:v>2109</x:v>
      </x:c>
      <x:c r="L125" s="38" t="n">
        <x:v>2075</x:v>
      </x:c>
      <x:c r="M125" s="32"/>
      <x:c r="N125" s="38" t="n">
        <x:v>20.9</x:v>
      </x:c>
      <x:c r="O125" s="38"/>
      <x:c r="P125" s="38"/>
      <x:c r="Q125" s="38"/>
      <x:c r="R125" s="38"/>
      <x:c r="S125" s="38"/>
      <x:c r="T125" s="40"/>
      <x:c r="U125" s="32" t="str">
        <x:v>eşleşme yok</x:v>
      </x:c>
      <x:c r="V125" s="32" t="str">
        <x:v>C</x:v>
      </x:c>
      <x:c r="W125" s="32" t="str">
        <x:v>https://www.enerjiatlasi.com/hidroelektrik/?v=1.0.24</x:v>
      </x:c>
      <x:c r="X125" s="32" t="str">
        <x:v>https://openinframap.org/stats/area/Turkey/plants?source=hydro</x:v>
      </x:c>
      <x:c r="Y125" s="32" t="str">
        <x:v>hes_MERKEZI_LISTESI.xlsx — trafo merkezi koordinatı (yaklaşık)</x:v>
      </x:c>
      <x:c r="Z125" s="32" t="str">
        <x:v>10</x:v>
      </x:c>
      <x:c r="AA125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25" s="133" t="str">
        <x:v>Trafo merkezi koordinatı ile tamamlandı</x:v>
      </x:c>
      <x:c r="AC125" s="133" t="str">
        <x:v>Trafo merkezi / elektrik bağlantı noktası (yaklaşık)</x:v>
      </x:c>
      <x:c r="AD125" s="133" t="n">
        <x:v>22</x:v>
      </x:c>
      <x:c r="AE125" s="133" t="str">
        <x:v>KUZGUN HES</x:v>
      </x:c>
      <x:c r="AF125" s="133" t="str">
        <x:v>Erzurum</x:v>
      </x:c>
      <x:c r="AG125" s="134" t="n">
        <x:v>40.184</x:v>
      </x:c>
      <x:c r="AH125" s="134" t="n">
        <x:v>41.064</x:v>
      </x:c>
      <x:c r="AI125" s="133" t="str">
        <x:v>Tam ad eşleşmesi</x:v>
      </x:c>
      <x:c r="AJ125" s="133" t="str">
        <x:v>Yüksek</x:v>
      </x:c>
      <x:c r="AK125" s="135"/>
      <x:c r="AL125" s="133" t="str">
        <x:v>Point</x:v>
      </x:c>
      <x:c r="AM125" s="133" t="str">
        <x:v>{"type": "Point", "coordinates": [41.064, 40.184]}</x:v>
      </x:c>
      <x:c r="AN125" s="133" t="str">
        <x:v>Trafo merkezi / elektrik bağlantı noktası (yaklaşık)</x:v>
      </x:c>
      <x:c r="AO125" s="133"/>
      <x:c r="AP125" s="133"/>
      <x:c r="AQ125" s="134"/>
      <x:c r="AR125" s="134"/>
      <x:c r="AS125" s="133"/>
      <x:c r="AT125" s="133" t="str">
        <x:v>https://cbs1.tarimorman.gov.tr/server/rest/services/TATUS/FeatureServer/7/query?where=HAVZA_ID%3D21+AND+%28BarajAdi%3D%27KUZGUN%27%29&amp;outFields=OBJECTID%2CBarajAdi%2CHavzaAdi%2CHAVZA_ID%2CIl&amp;returnGeometry=true&amp;outSR=4326&amp;f=geojson</x:v>
      </x:c>
      <x:c r="AU125" s="133"/>
      <x:c r="AV125" s="133" t="str">
        <x:v>Polyline / LineString</x:v>
      </x:c>
      <x:c r="AW125" s="133" t="str">
        <x:v>https://cbs1.tarimorman.gov.tr/server/rest/services/TATUS/FeatureServer/8/query?where=HAVZA_ID%3D21&amp;geometry=41.064000%2C40.184000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5" s="133" t="str">
        <x:v>TATUS spatial query hazır; en yakın/uygun LineString seçilmeli</x:v>
      </x:c>
      <x:c r="AY125" s="133" t="str">
        <x:v>Polygon</x:v>
      </x:c>
      <x:c r="AZ125" s="133" t="str">
        <x:v>https://cbs1.tarimorman.gov.tr/server/rest/services/TATUS/FeatureServer/9/query?where=1%3D1&amp;geometry=41.064000%2C40.184000&amp;geometryType=esriGeometryPoint&amp;inSR=4326&amp;spatialRel=esriSpatialRelIntersects&amp;outFields=%2A&amp;returnGeometry=true&amp;outSR=4326&amp;resultRecordCount=5&amp;f=geojson</x:v>
      </x:c>
      <x:c r="BA125" s="133" t="str">
        <x:v>Santral popup: Su alanını göster</x:v>
      </x:c>
      <x:c r="BB125" s="133" t="str">
        <x:v>Orta-Düşük</x:v>
      </x:c>
      <x:c r="BC125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26" ht="30" customHeight="1">
      <x:c r="A126" s="100" t="n">
        <x:v>123</x:v>
      </x:c>
      <x:c r="B126" s="32" t="str">
        <x:v>KÜRTÜN HES</x:v>
      </x:c>
      <x:c r="C126" s="32" t="str">
        <x:v>Doğu Karadeniz</x:v>
      </x:c>
      <x:c r="D126" s="32" t="str">
        <x:v>Doğu Karadeniz</x:v>
      </x:c>
      <x:c r="E126" s="34" t="n">
        <x:v>22</x:v>
      </x:c>
      <x:c r="F126" s="32" t="str">
        <x:v>https://cbs1.tarimorman.gov.tr/server/rest/services/TATUS/FeatureServer/11/query?where=ID%3D22&amp;outFields=ID%2CHAVZA_ADI%2CALAN_KM2&amp;returnGeometry=true&amp;outSR=4326&amp;f=geojson</x:v>
      </x:c>
      <x:c r="G126" s="32" t="str">
        <x:v>KÜRTÜN</x:v>
      </x:c>
      <x:c r="H126" s="32" t="str">
        <x:v>GÜMÜŞHANE</x:v>
      </x:c>
      <x:c r="I126" s="36" t="n">
        <x:v>40.683</x:v>
      </x:c>
      <x:c r="J126" s="36" t="n">
        <x:v>39.125</x:v>
      </x:c>
      <x:c r="K126" s="38" t="n">
        <x:v>640.5</x:v>
      </x:c>
      <x:c r="L126" s="38" t="n">
        <x:v>610</x:v>
      </x:c>
      <x:c r="M126" s="32"/>
      <x:c r="N126" s="38" t="n">
        <x:v>80</x:v>
      </x:c>
      <x:c r="O126" s="38" t="n">
        <x:v>104.5</x:v>
      </x:c>
      <x:c r="P126" s="38" t="n">
        <x:v>83.75</x:v>
      </x:c>
      <x:c r="Q126" s="38" t="n">
        <x:v>30.58</x:v>
      </x:c>
      <x:c r="R126" s="38" t="n">
        <x:v>34.37</x:v>
      </x:c>
      <x:c r="S126" s="38" t="n">
        <x:v>7.79</x:v>
      </x:c>
      <x:c r="T126" s="40" t="n">
        <x:v>46278.81434027778</x:v>
      </x:c>
      <x:c r="U126" s="32" t="str">
        <x:v>exact</x:v>
      </x:c>
      <x:c r="V126" s="32" t="str">
        <x:v>B</x:v>
      </x:c>
      <x:c r="W126" s="32" t="str">
        <x:v>Yüklü Debi_ve_Kurulu_Guc-13092026.xlsx</x:v>
      </x:c>
      <x:c r="X126" s="32" t="str">
        <x:v>Yüklü Debi_ve_Kurulu_Guc-13092026.xlsx</x:v>
      </x:c>
      <x:c r="Y126" s="32" t="str">
        <x:v>hes_MERKEZI_LISTESI.xlsx — trafo merkezi koordinatı (yaklaşık)</x:v>
      </x:c>
      <x:c r="Z126" s="32" t="str">
        <x:v>10</x:v>
      </x:c>
      <x:c r="AA126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26" s="133" t="str">
        <x:v>Trafo merkezi koordinatı ile tamamlandı</x:v>
      </x:c>
      <x:c r="AC126" s="133" t="str">
        <x:v>Trafo merkezi / elektrik bağlantı noktası (yaklaşık)</x:v>
      </x:c>
      <x:c r="AD126" s="133" t="n">
        <x:v>792</x:v>
      </x:c>
      <x:c r="AE126" s="133" t="str">
        <x:v>KÜRTÜN HES</x:v>
      </x:c>
      <x:c r="AF126" s="133" t="str">
        <x:v>Gümüşhane</x:v>
      </x:c>
      <x:c r="AG126" s="134" t="n">
        <x:v>40.683</x:v>
      </x:c>
      <x:c r="AH126" s="134" t="n">
        <x:v>39.125</x:v>
      </x:c>
      <x:c r="AI126" s="133" t="str">
        <x:v>Tam ad eşleşmesi</x:v>
      </x:c>
      <x:c r="AJ126" s="133" t="str">
        <x:v>Yüksek</x:v>
      </x:c>
      <x:c r="AK126" s="135"/>
      <x:c r="AL126" s="133" t="str">
        <x:v>Point</x:v>
      </x:c>
      <x:c r="AM126" s="133" t="str">
        <x:v>{"type": "Point", "coordinates": [39.125, 40.683]}</x:v>
      </x:c>
      <x:c r="AN126" s="133" t="str">
        <x:v>Trafo merkezi / elektrik bağlantı noktası (yaklaşık)</x:v>
      </x:c>
      <x:c r="AO126" s="133"/>
      <x:c r="AP126" s="133"/>
      <x:c r="AQ126" s="134"/>
      <x:c r="AR126" s="134"/>
      <x:c r="AS126" s="133"/>
      <x:c r="AT126" s="133" t="str">
        <x:v>https://cbs1.tarimorman.gov.tr/server/rest/services/TATUS/FeatureServer/7/query?where=HAVZA_ID%3D22+AND+%28BarajAdi%3D%27K%C3%9CRT%C3%9CN%27%29&amp;outFields=OBJECTID%2CBarajAdi%2CHavzaAdi%2CHAVZA_ID%2CIl&amp;returnGeometry=true&amp;outSR=4326&amp;f=geojson</x:v>
      </x:c>
      <x:c r="AU126" s="133"/>
      <x:c r="AV126" s="133" t="str">
        <x:v>Polyline / LineString</x:v>
      </x:c>
      <x:c r="AW126" s="133" t="str">
        <x:v>https://cbs1.tarimorman.gov.tr/server/rest/services/TATUS/FeatureServer/8/query?where=HAVZA_ID%3D22&amp;geometry=39.125000%2C40.683000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6" s="133" t="str">
        <x:v>TATUS spatial query hazır; en yakın/uygun LineString seçilmeli</x:v>
      </x:c>
      <x:c r="AY126" s="133" t="str">
        <x:v>Polygon</x:v>
      </x:c>
      <x:c r="AZ126" s="133" t="str">
        <x:v>https://cbs1.tarimorman.gov.tr/server/rest/services/TATUS/FeatureServer/9/query?where=1%3D1&amp;geometry=39.125000%2C40.683000&amp;geometryType=esriGeometryPoint&amp;inSR=4326&amp;spatialRel=esriSpatialRelIntersects&amp;outFields=%2A&amp;returnGeometry=true&amp;outSR=4326&amp;resultRecordCount=5&amp;f=geojson</x:v>
      </x:c>
      <x:c r="BA126" s="133" t="str">
        <x:v>Santral popup: Su alanını göster</x:v>
      </x:c>
      <x:c r="BB126" s="133" t="str">
        <x:v>Orta-Düşük</x:v>
      </x:c>
      <x:c r="BC126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27" ht="30" customHeight="1">
      <x:c r="A127" s="100" t="n">
        <x:v>124</x:v>
      </x:c>
      <x:c r="B127" s="32" t="str">
        <x:v>MANAVGAT HES</x:v>
      </x:c>
      <x:c r="C127" s="32" t="str">
        <x:v>Orta Akdeniz</x:v>
      </x:c>
      <x:c r="D127" s="32" t="str">
        <x:v>Antalya</x:v>
      </x:c>
      <x:c r="E127" s="34" t="n">
        <x:v>9</x:v>
      </x:c>
      <x:c r="F127" s="32" t="str">
        <x:v>https://cbs1.tarimorman.gov.tr/server/rest/services/TATUS/FeatureServer/11/query?where=ID%3D9&amp;outFields=ID%2CHAVZA_ADI%2CALAN_KM2&amp;returnGeometry=true&amp;outSR=4326&amp;f=geojson</x:v>
      </x:c>
      <x:c r="G127" s="32" t="str">
        <x:v>MANAVGAT</x:v>
      </x:c>
      <x:c r="H127" s="32" t="str">
        <x:v>ANTALYA</x:v>
      </x:c>
      <x:c r="I127" s="36" t="n">
        <x:v>36.835</x:v>
      </x:c>
      <x:c r="J127" s="36" t="n">
        <x:v>31.516</x:v>
      </x:c>
      <x:c r="K127" s="38" t="n">
        <x:v>32.3</x:v>
      </x:c>
      <x:c r="L127" s="38" t="n">
        <x:v>20</x:v>
      </x:c>
      <x:c r="M127" s="32"/>
      <x:c r="N127" s="38" t="n">
        <x:v>48</x:v>
      </x:c>
      <x:c r="O127" s="38" t="n">
        <x:v>260</x:v>
      </x:c>
      <x:c r="P127" s="38" t="n">
        <x:v>86.8</x:v>
      </x:c>
      <x:c r="Q127" s="38" t="n">
        <x:v>12.3</x:v>
      </x:c>
      <x:c r="R127" s="38" t="n">
        <x:v>60.47</x:v>
      </x:c>
      <x:c r="S127" s="38" t="n">
        <x:v>2.93</x:v>
      </x:c>
      <x:c r="T127" s="40" t="n">
        <x:v>46278.81434027778</x:v>
      </x:c>
      <x:c r="U127" s="32" t="str">
        <x:v>exact</x:v>
      </x:c>
      <x:c r="V127" s="32" t="str">
        <x:v>B</x:v>
      </x:c>
      <x:c r="W127" s="32" t="str">
        <x:v>Yüklü Debi_ve_Kurulu_Guc-13092026.xlsx</x:v>
      </x:c>
      <x:c r="X127" s="32" t="str">
        <x:v>Yüklü Debi_ve_Kurulu_Guc-13092026.xlsx</x:v>
      </x:c>
      <x:c r="Y127" s="32" t="str">
        <x:v>hes_MERKEZI_LISTESI.xlsx — trafo merkezi koordinatı (yaklaşık)</x:v>
      </x:c>
      <x:c r="Z127" s="32" t="str">
        <x:v>10</x:v>
      </x:c>
      <x:c r="AA127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27" s="133" t="str">
        <x:v>Trafo merkezi koordinatı ile tamamlandı</x:v>
      </x:c>
      <x:c r="AC127" s="133" t="str">
        <x:v>Trafo merkezi / elektrik bağlantı noktası (yaklaşık)</x:v>
      </x:c>
      <x:c r="AD127" s="133" t="n">
        <x:v>139</x:v>
      </x:c>
      <x:c r="AE127" s="133" t="str">
        <x:v>MANAVGAT HES</x:v>
      </x:c>
      <x:c r="AF127" s="133" t="str">
        <x:v>Antalya</x:v>
      </x:c>
      <x:c r="AG127" s="134" t="n">
        <x:v>36.835</x:v>
      </x:c>
      <x:c r="AH127" s="134" t="n">
        <x:v>31.516</x:v>
      </x:c>
      <x:c r="AI127" s="133" t="str">
        <x:v>Tam ad eşleşmesi</x:v>
      </x:c>
      <x:c r="AJ127" s="133" t="str">
        <x:v>Yüksek</x:v>
      </x:c>
      <x:c r="AK127" s="135"/>
      <x:c r="AL127" s="133" t="str">
        <x:v>Point</x:v>
      </x:c>
      <x:c r="AM127" s="133" t="str">
        <x:v>{"type": "Point", "coordinates": [31.516, 36.835]}</x:v>
      </x:c>
      <x:c r="AN127" s="133" t="str">
        <x:v>Trafo merkezi / elektrik bağlantı noktası (yaklaşık)</x:v>
      </x:c>
      <x:c r="AO127" s="133"/>
      <x:c r="AP127" s="133"/>
      <x:c r="AQ127" s="134"/>
      <x:c r="AR127" s="134"/>
      <x:c r="AS127" s="133"/>
      <x:c r="AT127" s="133" t="str">
        <x:v>https://cbs1.tarimorman.gov.tr/server/rest/services/TATUS/FeatureServer/7/query?where=HAVZA_ID%3D9+AND+%28BarajAdi%3D%27MANAVGAT%27%29&amp;outFields=OBJECTID%2CBarajAdi%2CHavzaAdi%2CHAVZA_ID%2CIl&amp;returnGeometry=true&amp;outSR=4326&amp;f=geojson</x:v>
      </x:c>
      <x:c r="AU127" s="133"/>
      <x:c r="AV127" s="133" t="str">
        <x:v>Polyline / LineString</x:v>
      </x:c>
      <x:c r="AW127" s="133" t="str">
        <x:v>https://cbs1.tarimorman.gov.tr/server/rest/services/TATUS/FeatureServer/8/query?where=HAVZA_ID%3D9&amp;geometry=31.516000%2C36.835000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7" s="133" t="str">
        <x:v>TATUS spatial query hazır; en yakın/uygun LineString seçilmeli</x:v>
      </x:c>
      <x:c r="AY127" s="133" t="str">
        <x:v>Polygon</x:v>
      </x:c>
      <x:c r="AZ127" s="133" t="str">
        <x:v>https://cbs1.tarimorman.gov.tr/server/rest/services/TATUS/FeatureServer/9/query?where=1%3D1&amp;geometry=31.516000%2C36.835000&amp;geometryType=esriGeometryPoint&amp;inSR=4326&amp;spatialRel=esriSpatialRelIntersects&amp;outFields=%2A&amp;returnGeometry=true&amp;outSR=4326&amp;resultRecordCount=5&amp;f=geojson</x:v>
      </x:c>
      <x:c r="BA127" s="133" t="str">
        <x:v>Santral popup: Su alanını göster</x:v>
      </x:c>
      <x:c r="BB127" s="133" t="str">
        <x:v>Orta-Düşük</x:v>
      </x:c>
      <x:c r="BC12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28" ht="30" customHeight="1">
      <x:c r="A128" s="100" t="n">
        <x:v>125</x:v>
      </x:c>
      <x:c r="B128" s="32" t="str">
        <x:v>MANYAS HES</x:v>
      </x:c>
      <x:c r="C128" s="32" t="str">
        <x:v>Susurluk</x:v>
      </x:c>
      <x:c r="D128" s="32" t="str">
        <x:v>Susurluk</x:v>
      </x:c>
      <x:c r="E128" s="34" t="n">
        <x:v>3</x:v>
      </x:c>
      <x:c r="F128" s="32" t="str">
        <x:v>https://cbs1.tarimorman.gov.tr/server/rest/services/TATUS/FeatureServer/11/query?where=ID%3D3&amp;outFields=ID%2CHAVZA_ADI%2CALAN_KM2&amp;returnGeometry=true&amp;outSR=4326&amp;f=geojson</x:v>
      </x:c>
      <x:c r="G128" s="32" t="str">
        <x:v>MANYAS</x:v>
      </x:c>
      <x:c r="H128" s="32" t="str">
        <x:v>BALIKESİR</x:v>
      </x:c>
      <x:c r="I128" s="36"/>
      <x:c r="J128" s="36"/>
      <x:c r="K128" s="38" t="n">
        <x:v>120</x:v>
      </x:c>
      <x:c r="L128" s="38" t="n">
        <x:v>85</x:v>
      </x:c>
      <x:c r="M128" s="32"/>
      <x:c r="N128" s="38" t="n">
        <x:v>19</x:v>
      </x:c>
      <x:c r="O128" s="38" t="n">
        <x:v>42</x:v>
      </x:c>
      <x:c r="P128" s="38" t="n">
        <x:v>423.39</x:v>
      </x:c>
      <x:c r="Q128" s="38" t="n">
        <x:v>62.39</x:v>
      </x:c>
      <x:c r="R128" s="38" t="n">
        <x:v>195.69</x:v>
      </x:c>
      <x:c r="S128" s="38" t="n">
        <x:v>31.04</x:v>
      </x:c>
      <x:c r="T128" s="40" t="n">
        <x:v>46278.81434027778</x:v>
      </x:c>
      <x:c r="U128" s="32" t="str">
        <x:v>exact</x:v>
      </x:c>
      <x:c r="V128" s="32" t="str">
        <x:v>B</x:v>
      </x:c>
      <x:c r="W128" s="32" t="str">
        <x:v>Yüklü Debi_ve_Kurulu_Guc-13092026.xlsx</x:v>
      </x:c>
      <x:c r="X128" s="32" t="str">
        <x:v>Yüklü Debi_ve_Kurulu_Guc-13092026.xlsx</x:v>
      </x:c>
      <x:c r="Y128" s="32"/>
      <x:c r="Z128" s="32" t="str">
        <x:v>10</x:v>
      </x:c>
      <x:c r="AA128" s="101" t="str">
        <x:v>Kaskat alanında kaynak değeri '10' (belirsiz/sentinel); Koordinat güvenilir açık kaynaktan doğrulanamadı</x:v>
      </x:c>
      <x:c r="AB128" s="133" t="str">
        <x:v>Koordinat eksik</x:v>
      </x:c>
      <x:c r="AC128" s="133" t="str">
        <x:v>—</x:v>
      </x:c>
      <x:c r="AD128" s="133"/>
      <x:c r="AE128" s="133"/>
      <x:c r="AF128" s="133"/>
      <x:c r="AG128" s="134"/>
      <x:c r="AH128" s="134"/>
      <x:c r="AI128" s="133"/>
      <x:c r="AJ128" s="133"/>
      <x:c r="AK128" s="135"/>
      <x:c r="AL128" s="133" t="str">
        <x:v>Point</x:v>
      </x:c>
      <x:c r="AM128" s="133"/>
      <x:c r="AN128" s="133" t="str">
        <x:v>Koordinat yok</x:v>
      </x:c>
      <x:c r="AO128" s="133"/>
      <x:c r="AP128" s="133"/>
      <x:c r="AQ128" s="134"/>
      <x:c r="AR128" s="134"/>
      <x:c r="AS128" s="133"/>
      <x:c r="AT128" s="133" t="str">
        <x:v>https://cbs1.tarimorman.gov.tr/server/rest/services/TATUS/FeatureServer/7/query?where=HAVZA_ID%3D3+AND+%28BarajAdi%3D%27MANYAS%27%29&amp;outFields=OBJECTID%2CBarajAdi%2CHavzaAdi%2CHAVZA_ID%2CIl&amp;returnGeometry=true&amp;outSR=4326&amp;f=geojson</x:v>
      </x:c>
      <x:c r="AU128" s="133" t="str">
        <x:v>Susurluk</x:v>
      </x:c>
      <x:c r="AV128" s="133" t="str">
        <x:v>Polyline / LineString</x:v>
      </x:c>
      <x:c r="AW128" s="133"/>
      <x:c r="AX128" s="133" t="str">
        <x:v>Havza ana akarsuyu ön-eşleme; TATUS spatial query ile doğrulanmalı</x:v>
      </x:c>
      <x:c r="AY128" s="133" t="str">
        <x:v>Polygon</x:v>
      </x:c>
      <x:c r="AZ128" s="133"/>
      <x:c r="BA128" s="133" t="str">
        <x:v>Santral popup: Su alanını göster</x:v>
      </x:c>
      <x:c r="BB128" s="133" t="str">
        <x:v>Yok</x:v>
      </x:c>
      <x:c r="BC128" s="133" t="str">
        <x:v>TATUS baraj point doğrudan eşleşmesi bu çalışma kitabında çözülmedi; sorgu URL'si eklendi; Koordinat eksik olduğu için akarsu ve su toplama alanı spatial sorgusu üretilemedi</x:v>
      </x:c>
    </x:row>
    <x:row r="129" ht="30" customHeight="1">
      <x:c r="A129" s="100" t="n">
        <x:v>126</x:v>
      </x:c>
      <x:c r="B129" s="32" t="str">
        <x:v>MENGE HES</x:v>
      </x:c>
      <x:c r="C129" s="32" t="str">
        <x:v>Seyhan</x:v>
      </x:c>
      <x:c r="D129" s="32" t="str">
        <x:v>Seyhan</x:v>
      </x:c>
      <x:c r="E129" s="34" t="n">
        <x:v>18</x:v>
      </x:c>
      <x:c r="F129" s="32" t="str">
        <x:v>https://cbs1.tarimorman.gov.tr/server/rest/services/TATUS/FeatureServer/11/query?where=ID%3D18&amp;outFields=ID%2CHAVZA_ADI%2CALAN_KM2&amp;returnGeometry=true&amp;outSR=4326&amp;f=geojson</x:v>
      </x:c>
      <x:c r="G129" s="32" t="str">
        <x:v>MENGE HES</x:v>
      </x:c>
      <x:c r="H129" s="32" t="str">
        <x:v>ADANA</x:v>
      </x:c>
      <x:c r="I129" s="36" t="n">
        <x:v>37.7097</x:v>
      </x:c>
      <x:c r="J129" s="36" t="n">
        <x:v>35.7348</x:v>
      </x:c>
      <x:c r="K129" s="38" t="n">
        <x:v>480</x:v>
      </x:c>
      <x:c r="L129" s="38" t="n">
        <x:v>470</x:v>
      </x:c>
      <x:c r="M129" s="32" t="str">
        <x:v>KÖPRÜ HES</x:v>
      </x:c>
      <x:c r="N129" s="38" t="n">
        <x:v>86.8</x:v>
      </x:c>
      <x:c r="O129" s="38" t="n">
        <x:v>180</x:v>
      </x:c>
      <x:c r="P129" s="38" t="n">
        <x:v>45.11</x:v>
      </x:c>
      <x:c r="Q129" s="38" t="n">
        <x:v>22.42</x:v>
      </x:c>
      <x:c r="R129" s="38" t="n">
        <x:v>13.77</x:v>
      </x:c>
      <x:c r="S129" s="38" t="n">
        <x:v>1.93</x:v>
      </x:c>
      <x:c r="T129" s="40" t="n">
        <x:v>46278.81434027778</x:v>
      </x:c>
      <x:c r="U129" s="32" t="str">
        <x:v>exact</x:v>
      </x:c>
      <x:c r="V129" s="32" t="str">
        <x:v>A</x:v>
      </x:c>
      <x:c r="W129" s="32" t="str">
        <x:v>Yüklü Debi_ve_Kurulu_Guc-13092026.xlsx</x:v>
      </x:c>
      <x:c r="X129" s="32" t="str">
        <x:v>Yüklü Debi_ve_Kurulu_Guc-13092026.xlsx</x:v>
      </x:c>
      <x:c r="Y129" s="32" t="str">
        <x:v>https://cbs1.tarimorman.gov.tr/server/rest/services/TATUS/FeatureServer/7</x:v>
      </x:c>
      <x:c r="Z129" s="32" t="str">
        <x:v>KÖPRÜ HES</x:v>
      </x:c>
      <x:c r="AA129" s="101"/>
      <x:c r="AB129" s="133" t="str">
        <x:v>Doğrulanmış koordinat mevcut</x:v>
      </x:c>
      <x:c r="AC129" s="133" t="str">
        <x:v>HES / baraj noktası</x:v>
      </x:c>
      <x:c r="AD129" s="133" t="n">
        <x:v>470</x:v>
      </x:c>
      <x:c r="AE129" s="133" t="str">
        <x:v>MENGE HES</x:v>
      </x:c>
      <x:c r="AF129" s="133" t="str">
        <x:v>Adana</x:v>
      </x:c>
      <x:c r="AG129" s="134" t="n">
        <x:v>37.703</x:v>
      </x:c>
      <x:c r="AH129" s="134" t="n">
        <x:v>35.723</x:v>
      </x:c>
      <x:c r="AI129" s="133" t="str">
        <x:v>Tam ad eşleşmesi</x:v>
      </x:c>
      <x:c r="AJ129" s="133" t="str">
        <x:v>Yüksek</x:v>
      </x:c>
      <x:c r="AK129" s="135" t="n">
        <x:v>1.278</x:v>
      </x:c>
      <x:c r="AL129" s="133" t="str">
        <x:v>Point</x:v>
      </x:c>
      <x:c r="AM129" s="133" t="str">
        <x:v>{"type": "Point", "coordinates": [35.7348, 37.7097]}</x:v>
      </x:c>
      <x:c r="AN129" s="133" t="str">
        <x:v>TATUS Baraj Gözlem Point</x:v>
      </x:c>
      <x:c r="AO129" s="133" t="str">
        <x:v>MENGE HES</x:v>
      </x:c>
      <x:c r="AP129" s="133" t="n">
        <x:v>1</x:v>
      </x:c>
      <x:c r="AQ129" s="134" t="n">
        <x:v>37.7097</x:v>
      </x:c>
      <x:c r="AR129" s="134" t="n">
        <x:v>35.7348</x:v>
      </x:c>
      <x:c r="AS129" s="133" t="str">
        <x:v>{"type": "Point", "coordinates": [35.7348, 37.7097]}</x:v>
      </x:c>
      <x:c r="AT129" s="133" t="str">
        <x:v>https://cbs1.tarimorman.gov.tr/server/rest/services/TATUS/FeatureServer/7/query?where=HAVZA_ID%3D18+AND+%28BarajAdi%3D%27MENGE+HES%27+OR+BarajAdi%3D%27MENGE%27%29&amp;outFields=OBJECTID%2CBarajAdi%2CHavzaAdi%2CHAVZA_ID%2CIl&amp;returnGeometry=true&amp;outSR=4326&amp;f=geojson</x:v>
      </x:c>
      <x:c r="AU129" s="133" t="str">
        <x:v>Seyhan</x:v>
      </x:c>
      <x:c r="AV129" s="133" t="str">
        <x:v>Polyline / LineString</x:v>
      </x:c>
      <x:c r="AW129" s="133" t="str">
        <x:v>https://cbs1.tarimorman.gov.tr/server/rest/services/TATUS/FeatureServer/8/query?where=HAVZA_ID%3D18&amp;geometry=35.734800%2C37.709700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29" s="133" t="str">
        <x:v>Havza ana akarsuyu ön-eşleme; TATUS spatial query ile doğrulanmalı</x:v>
      </x:c>
      <x:c r="AY129" s="133" t="str">
        <x:v>Polygon</x:v>
      </x:c>
      <x:c r="AZ129" s="133" t="str">
        <x:v>https://cbs1.tarimorman.gov.tr/server/rest/services/TATUS/FeatureServer/9/query?where=1%3D1&amp;geometry=35.734800%2C37.709700&amp;geometryType=esriGeometryPoint&amp;inSR=4326&amp;spatialRel=esriSpatialRelIntersects&amp;outFields=%2A&amp;returnGeometry=true&amp;outSR=4326&amp;resultRecordCount=5&amp;f=geojson</x:v>
      </x:c>
      <x:c r="BA129" s="133" t="str">
        <x:v>Santral popup: Su alanını göster</x:v>
      </x:c>
      <x:c r="BB129" s="133" t="str">
        <x:v>Yüksek</x:v>
      </x:c>
      <x:c r="BC129" s="133"/>
    </x:row>
    <x:row r="130" ht="30" customHeight="1">
      <x:c r="A130" s="100" t="n">
        <x:v>127</x:v>
      </x:c>
      <x:c r="B130" s="32" t="str">
        <x:v>MENZELET HES</x:v>
      </x:c>
      <x:c r="C130" s="32" t="str">
        <x:v>Ceyhan</x:v>
      </x:c>
      <x:c r="D130" s="32" t="str">
        <x:v>Ceyhan</x:v>
      </x:c>
      <x:c r="E130" s="34" t="n">
        <x:v>20</x:v>
      </x:c>
      <x:c r="F130" s="32" t="str">
        <x:v>https://cbs1.tarimorman.gov.tr/server/rest/services/TATUS/FeatureServer/11/query?where=ID%3D20&amp;outFields=ID%2CHAVZA_ADI%2CALAN_KM2&amp;returnGeometry=true&amp;outSR=4326&amp;f=geojson</x:v>
      </x:c>
      <x:c r="G130" s="32" t="str">
        <x:v>MENZELET</x:v>
      </x:c>
      <x:c r="H130" s="32" t="str">
        <x:v>KAHRAMANMARAŞ</x:v>
      </x:c>
      <x:c r="I130" s="36" t="n">
        <x:v>37.6765</x:v>
      </x:c>
      <x:c r="J130" s="36" t="n">
        <x:v>36.8504</x:v>
      </x:c>
      <x:c r="K130" s="38" t="n">
        <x:v>609.4</x:v>
      </x:c>
      <x:c r="L130" s="38" t="n">
        <x:v>560.2</x:v>
      </x:c>
      <x:c r="M130" s="32" t="str">
        <x:v>KILAVUZLU HES</x:v>
      </x:c>
      <x:c r="N130" s="38" t="n">
        <x:v>124</x:v>
      </x:c>
      <x:c r="O130" s="38" t="n">
        <x:v>130</x:v>
      </x:c>
      <x:c r="P130" s="38" t="n">
        <x:v>1974.5</x:v>
      </x:c>
      <x:c r="Q130" s="38" t="n">
        <x:v>533.9</x:v>
      </x:c>
      <x:c r="R130" s="38" t="n">
        <x:v>1152.88</x:v>
      </x:c>
      <x:c r="S130" s="38" t="n">
        <x:v>328.83</x:v>
      </x:c>
      <x:c r="T130" s="40" t="n">
        <x:v>46278.81434027778</x:v>
      </x:c>
      <x:c r="U130" s="32" t="str">
        <x:v>exact</x:v>
      </x:c>
      <x:c r="V130" s="32" t="str">
        <x:v>A</x:v>
      </x:c>
      <x:c r="W130" s="32" t="str">
        <x:v>Yüklü Debi_ve_Kurulu_Guc-13092026.xlsx</x:v>
      </x:c>
      <x:c r="X130" s="32" t="str">
        <x:v>Yüklü Debi_ve_Kurulu_Guc-13092026.xlsx</x:v>
      </x:c>
      <x:c r="Y130" s="32" t="str">
        <x:v>https://cbs1.tarimorman.gov.tr/server/rest/services/TATUS/FeatureServer/7</x:v>
      </x:c>
      <x:c r="Z130" s="32" t="str">
        <x:v>KILAVUZLU HES</x:v>
      </x:c>
      <x:c r="AA130" s="101"/>
      <x:c r="AB130" s="133" t="str">
        <x:v>Doğrulanmış koordinat mevcut</x:v>
      </x:c>
      <x:c r="AC130" s="133" t="str">
        <x:v>HES / baraj noktası</x:v>
      </x:c>
      <x:c r="AD130" s="133" t="n">
        <x:v>353</x:v>
      </x:c>
      <x:c r="AE130" s="133" t="str">
        <x:v>MENZELET HES</x:v>
      </x:c>
      <x:c r="AF130" s="133" t="str">
        <x:v>Kahramanmaraş</x:v>
      </x:c>
      <x:c r="AG130" s="134" t="n">
        <x:v>37.673</x:v>
      </x:c>
      <x:c r="AH130" s="134" t="n">
        <x:v>36.848</x:v>
      </x:c>
      <x:c r="AI130" s="133" t="str">
        <x:v>Tam ad eşleşmesi</x:v>
      </x:c>
      <x:c r="AJ130" s="133" t="str">
        <x:v>Yüksek</x:v>
      </x:c>
      <x:c r="AK130" s="135" t="n">
        <x:v>0.443</x:v>
      </x:c>
      <x:c r="AL130" s="133" t="str">
        <x:v>Point</x:v>
      </x:c>
      <x:c r="AM130" s="133" t="str">
        <x:v>{"type": "Point", "coordinates": [36.8504, 37.6765]}</x:v>
      </x:c>
      <x:c r="AN130" s="133" t="str">
        <x:v>TATUS Baraj Gözlem Point</x:v>
      </x:c>
      <x:c r="AO130" s="133" t="str">
        <x:v>MENZELET</x:v>
      </x:c>
      <x:c r="AP130" s="133" t="n">
        <x:v>1</x:v>
      </x:c>
      <x:c r="AQ130" s="134" t="n">
        <x:v>37.6765</x:v>
      </x:c>
      <x:c r="AR130" s="134" t="n">
        <x:v>36.8504</x:v>
      </x:c>
      <x:c r="AS130" s="133" t="str">
        <x:v>{"type": "Point", "coordinates": [36.8504, 37.6765]}</x:v>
      </x:c>
      <x:c r="AT130" s="133" t="str">
        <x:v>https://cbs1.tarimorman.gov.tr/server/rest/services/TATUS/FeatureServer/7/query?where=HAVZA_ID%3D20+AND+%28BarajAdi%3D%27MENZELET%27%29&amp;outFields=OBJECTID%2CBarajAdi%2CHavzaAdi%2CHAVZA_ID%2CIl&amp;returnGeometry=true&amp;outSR=4326&amp;f=geojson</x:v>
      </x:c>
      <x:c r="AU130" s="133" t="str">
        <x:v>Ceyhan</x:v>
      </x:c>
      <x:c r="AV130" s="133" t="str">
        <x:v>Polyline / LineString</x:v>
      </x:c>
      <x:c r="AW130" s="133" t="str">
        <x:v>https://cbs1.tarimorman.gov.tr/server/rest/services/TATUS/FeatureServer/8/query?where=HAVZA_ID%3D20&amp;geometry=36.850400%2C37.676500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0" s="133" t="str">
        <x:v>Havza ana akarsuyu ön-eşleme; TATUS spatial query ile doğrulanmalı</x:v>
      </x:c>
      <x:c r="AY130" s="133" t="str">
        <x:v>Polygon</x:v>
      </x:c>
      <x:c r="AZ130" s="133" t="str">
        <x:v>https://cbs1.tarimorman.gov.tr/server/rest/services/TATUS/FeatureServer/9/query?where=1%3D1&amp;geometry=36.850400%2C37.676500&amp;geometryType=esriGeometryPoint&amp;inSR=4326&amp;spatialRel=esriSpatialRelIntersects&amp;outFields=%2A&amp;returnGeometry=true&amp;outSR=4326&amp;resultRecordCount=5&amp;f=geojson</x:v>
      </x:c>
      <x:c r="BA130" s="133" t="str">
        <x:v>Santral popup: Su alanını göster</x:v>
      </x:c>
      <x:c r="BB130" s="133" t="str">
        <x:v>Yüksek</x:v>
      </x:c>
      <x:c r="BC130" s="133"/>
    </x:row>
    <x:row r="131" ht="30" customHeight="1">
      <x:c r="A131" s="100" t="n">
        <x:v>128</x:v>
      </x:c>
      <x:c r="B131" s="32" t="str">
        <x:v>MORGEDİK HES</x:v>
      </x:c>
      <x:c r="C131" s="32" t="str">
        <x:v>Van Gölü</x:v>
      </x:c>
      <x:c r="D131" s="32" t="str">
        <x:v>Van Gölü</x:v>
      </x:c>
      <x:c r="E131" s="34" t="n">
        <x:v>25</x:v>
      </x:c>
      <x:c r="F131" s="32" t="str">
        <x:v>https://cbs1.tarimorman.gov.tr/server/rest/services/TATUS/FeatureServer/11/query?where=ID%3D25&amp;outFields=ID%2CHAVZA_ADI%2CALAN_KM2&amp;returnGeometry=true&amp;outSR=4326&amp;f=geojson</x:v>
      </x:c>
      <x:c r="G131" s="32" t="str">
        <x:v>MORGEDİK</x:v>
      </x:c>
      <x:c r="H131" s="32" t="str">
        <x:v>VAN</x:v>
      </x:c>
      <x:c r="I131" s="36" t="n">
        <x:v>39.16211</x:v>
      </x:c>
      <x:c r="J131" s="36" t="n">
        <x:v>43.63663</x:v>
      </x:c>
      <x:c r="K131" s="38" t="n">
        <x:v>2227</x:v>
      </x:c>
      <x:c r="L131" s="38" t="n">
        <x:v>2205</x:v>
      </x:c>
      <x:c r="M131" s="32"/>
      <x:c r="N131" s="38" t="n">
        <x:v>10</x:v>
      </x:c>
      <x:c r="O131" s="38" t="n">
        <x:v>8.5</x:v>
      </x:c>
      <x:c r="P131" s="38" t="n">
        <x:v>102.5</x:v>
      </x:c>
      <x:c r="Q131" s="38" t="n">
        <x:v>2.8</x:v>
      </x:c>
      <x:c r="R131" s="38" t="n">
        <x:v>76.53</x:v>
      </x:c>
      <x:c r="S131" s="38" t="n">
        <x:v>9.88</x:v>
      </x:c>
      <x:c r="T131" s="40" t="n">
        <x:v>46278.81434027778</x:v>
      </x:c>
      <x:c r="U131" s="32" t="str">
        <x:v>exact</x:v>
      </x:c>
      <x:c r="V131" s="32" t="str">
        <x:v>A</x:v>
      </x:c>
      <x:c r="W131" s="32" t="str">
        <x:v>Yüklü Debi_ve_Kurulu_Guc-13092026.xlsx</x:v>
      </x:c>
      <x:c r="X131" s="32" t="str">
        <x:v>Yüklü Debi_ve_Kurulu_Guc-13092026.xlsx</x:v>
      </x:c>
      <x:c r="Y131" s="32" t="str">
        <x:v>https://cbs1.tarimorman.gov.tr/server/rest/services/TATUS/FeatureServer/7</x:v>
      </x:c>
      <x:c r="Z131" s="32" t="str">
        <x:v>10</x:v>
      </x:c>
      <x:c r="AA131" s="101" t="str">
        <x:v>Kaskat alanında kaynak değeri '10' (belirsiz/sentinel)</x:v>
      </x:c>
      <x:c r="AB131" s="133" t="str">
        <x:v>Doğrulanmış koordinat mevcut</x:v>
      </x:c>
      <x:c r="AC131" s="133" t="str">
        <x:v>HES / baraj noktası</x:v>
      </x:c>
      <x:c r="AD131" s="133"/>
      <x:c r="AE131" s="133"/>
      <x:c r="AF131" s="133"/>
      <x:c r="AG131" s="134"/>
      <x:c r="AH131" s="134"/>
      <x:c r="AI131" s="133"/>
      <x:c r="AJ131" s="133"/>
      <x:c r="AK131" s="135"/>
      <x:c r="AL131" s="133" t="str">
        <x:v>Point</x:v>
      </x:c>
      <x:c r="AM131" s="133" t="str">
        <x:v>{"type": "Point", "coordinates": [43.63663, 39.16211]}</x:v>
      </x:c>
      <x:c r="AN131" s="133" t="str">
        <x:v>TATUS Baraj Gözlem Point</x:v>
      </x:c>
      <x:c r="AO131" s="133" t="str">
        <x:v>MORGEDİK</x:v>
      </x:c>
      <x:c r="AP131" s="133" t="n">
        <x:v>1</x:v>
      </x:c>
      <x:c r="AQ131" s="134" t="n">
        <x:v>39.16211</x:v>
      </x:c>
      <x:c r="AR131" s="134" t="n">
        <x:v>43.63663</x:v>
      </x:c>
      <x:c r="AS131" s="133" t="str">
        <x:v>{"type": "Point", "coordinates": [43.63663, 39.16211]}</x:v>
      </x:c>
      <x:c r="AT131" s="133" t="str">
        <x:v>https://cbs1.tarimorman.gov.tr/server/rest/services/TATUS/FeatureServer/7/query?where=HAVZA_ID%3D25+AND+%28BarajAdi%3D%27MORGED%C4%B0K%27%29&amp;outFields=OBJECTID%2CBarajAdi%2CHavzaAdi%2CHAVZA_ID%2CIl&amp;returnGeometry=true&amp;outSR=4326&amp;f=geojson</x:v>
      </x:c>
      <x:c r="AU131" s="133"/>
      <x:c r="AV131" s="133" t="str">
        <x:v>Polyline / LineString</x:v>
      </x:c>
      <x:c r="AW131" s="133" t="str">
        <x:v>https://cbs1.tarimorman.gov.tr/server/rest/services/TATUS/FeatureServer/8/query?where=HAVZA_ID%3D25&amp;geometry=43.636630%2C39.162110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1" s="133" t="str">
        <x:v>TATUS spatial query hazır; en yakın/uygun LineString seçilmeli</x:v>
      </x:c>
      <x:c r="AY131" s="133" t="str">
        <x:v>Polygon</x:v>
      </x:c>
      <x:c r="AZ131" s="133" t="str">
        <x:v>https://cbs1.tarimorman.gov.tr/server/rest/services/TATUS/FeatureServer/9/query?where=1%3D1&amp;geometry=43.636630%2C39.162110&amp;geometryType=esriGeometryPoint&amp;inSR=4326&amp;spatialRel=esriSpatialRelIntersects&amp;outFields=%2A&amp;returnGeometry=true&amp;outSR=4326&amp;resultRecordCount=5&amp;f=geojson</x:v>
      </x:c>
      <x:c r="BA131" s="133" t="str">
        <x:v>Santral popup: Su alanını göster</x:v>
      </x:c>
      <x:c r="BB131" s="133" t="str">
        <x:v>Yüksek</x:v>
      </x:c>
      <x:c r="BC131" s="133"/>
    </x:row>
    <x:row r="132" ht="30" customHeight="1">
      <x:c r="A132" s="100" t="n">
        <x:v>129</x:v>
      </x:c>
      <x:c r="B132" s="32" t="str">
        <x:v>MURATLI HES</x:v>
      </x:c>
      <x:c r="C132" s="32" t="str">
        <x:v>Çoruh</x:v>
      </x:c>
      <x:c r="D132" s="32" t="str">
        <x:v>Çoruh</x:v>
      </x:c>
      <x:c r="E132" s="34" t="n">
        <x:v>23</x:v>
      </x:c>
      <x:c r="F132" s="32" t="str">
        <x:v>https://cbs1.tarimorman.gov.tr/server/rest/services/TATUS/FeatureServer/11/query?where=ID%3D23&amp;outFields=ID%2CHAVZA_ADI%2CALAN_KM2&amp;returnGeometry=true&amp;outSR=4326&amp;f=geojson</x:v>
      </x:c>
      <x:c r="G132" s="32" t="str">
        <x:v>MURATLI</x:v>
      </x:c>
      <x:c r="H132" s="32" t="str">
        <x:v>ARTVİN</x:v>
      </x:c>
      <x:c r="I132" s="36" t="n">
        <x:v>41.468</x:v>
      </x:c>
      <x:c r="J132" s="36" t="n">
        <x:v>41.714</x:v>
      </x:c>
      <x:c r="K132" s="38" t="n">
        <x:v>96</x:v>
      </x:c>
      <x:c r="L132" s="38" t="n">
        <x:v>91</x:v>
      </x:c>
      <x:c r="M132" s="32"/>
      <x:c r="N132" s="38" t="n">
        <x:v>115</x:v>
      </x:c>
      <x:c r="O132" s="38"/>
      <x:c r="P132" s="38"/>
      <x:c r="Q132" s="38"/>
      <x:c r="R132" s="38"/>
      <x:c r="S132" s="38"/>
      <x:c r="T132" s="40"/>
      <x:c r="U132" s="32" t="str">
        <x:v>eşleşme yok</x:v>
      </x:c>
      <x:c r="V132" s="32" t="str">
        <x:v>C</x:v>
      </x:c>
      <x:c r="W132" s="32" t="str">
        <x:v>https://www.enerjiatlasi.com/hidroelektrik/?v=1.0.24</x:v>
      </x:c>
      <x:c r="X132" s="32" t="str">
        <x:v>https://openinframap.org/stats/area/Turkey/plants?source=hydro</x:v>
      </x:c>
      <x:c r="Y132" s="32" t="str">
        <x:v>hes_MERKEZI_LISTESI.xlsx — trafo merkezi koordinatı (yaklaşık)</x:v>
      </x:c>
      <x:c r="Z132" s="32" t="str">
        <x:v>10</x:v>
      </x:c>
      <x:c r="AA132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32" s="133" t="str">
        <x:v>Trafo merkezi koordinatı ile tamamlandı</x:v>
      </x:c>
      <x:c r="AC132" s="133" t="str">
        <x:v>Trafo merkezi / elektrik bağlantı noktası (yaklaşık)</x:v>
      </x:c>
      <x:c r="AD132" s="133" t="n">
        <x:v>259</x:v>
      </x:c>
      <x:c r="AE132" s="133" t="str">
        <x:v>MURATLI HES</x:v>
      </x:c>
      <x:c r="AF132" s="133" t="str">
        <x:v>Artvin</x:v>
      </x:c>
      <x:c r="AG132" s="134" t="n">
        <x:v>41.468</x:v>
      </x:c>
      <x:c r="AH132" s="134" t="n">
        <x:v>41.714</x:v>
      </x:c>
      <x:c r="AI132" s="133" t="str">
        <x:v>Tam ad eşleşmesi</x:v>
      </x:c>
      <x:c r="AJ132" s="133" t="str">
        <x:v>Yüksek</x:v>
      </x:c>
      <x:c r="AK132" s="135"/>
      <x:c r="AL132" s="133" t="str">
        <x:v>Point</x:v>
      </x:c>
      <x:c r="AM132" s="133" t="str">
        <x:v>{"type": "Point", "coordinates": [41.714, 41.468]}</x:v>
      </x:c>
      <x:c r="AN132" s="133" t="str">
        <x:v>Trafo merkezi / elektrik bağlantı noktası (yaklaşık)</x:v>
      </x:c>
      <x:c r="AO132" s="133"/>
      <x:c r="AP132" s="133"/>
      <x:c r="AQ132" s="134"/>
      <x:c r="AR132" s="134"/>
      <x:c r="AS132" s="133"/>
      <x:c r="AT132" s="133" t="str">
        <x:v>https://cbs1.tarimorman.gov.tr/server/rest/services/TATUS/FeatureServer/7/query?where=HAVZA_ID%3D23+AND+%28BarajAdi%3D%27MURATLI%27%29&amp;outFields=OBJECTID%2CBarajAdi%2CHavzaAdi%2CHAVZA_ID%2CIl&amp;returnGeometry=true&amp;outSR=4326&amp;f=geojson</x:v>
      </x:c>
      <x:c r="AU132" s="133" t="str">
        <x:v>Çoruh</x:v>
      </x:c>
      <x:c r="AV132" s="133" t="str">
        <x:v>Polyline / LineString</x:v>
      </x:c>
      <x:c r="AW132" s="133" t="str">
        <x:v>https://cbs1.tarimorman.gov.tr/server/rest/services/TATUS/FeatureServer/8/query?where=HAVZA_ID%3D23&amp;geometry=41.714000%2C41.468000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2" s="133" t="str">
        <x:v>Havza ana akarsuyu ön-eşleme; TATUS spatial query ile doğrulanmalı</x:v>
      </x:c>
      <x:c r="AY132" s="133" t="str">
        <x:v>Polygon</x:v>
      </x:c>
      <x:c r="AZ132" s="133" t="str">
        <x:v>https://cbs1.tarimorman.gov.tr/server/rest/services/TATUS/FeatureServer/9/query?where=1%3D1&amp;geometry=41.714000%2C41.468000&amp;geometryType=esriGeometryPoint&amp;inSR=4326&amp;spatialRel=esriSpatialRelIntersects&amp;outFields=%2A&amp;returnGeometry=true&amp;outSR=4326&amp;resultRecordCount=5&amp;f=geojson</x:v>
      </x:c>
      <x:c r="BA132" s="133" t="str">
        <x:v>Santral popup: Su alanını göster</x:v>
      </x:c>
      <x:c r="BB132" s="133" t="str">
        <x:v>Orta-Düşük</x:v>
      </x:c>
      <x:c r="BC13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33" ht="30" customHeight="1">
      <x:c r="A133" s="100" t="n">
        <x:v>130</x:v>
      </x:c>
      <x:c r="B133" s="32" t="str">
        <x:v>MURSAL HES</x:v>
      </x:c>
      <x:c r="C133" s="32" t="str">
        <x:v>Fırat Dicle</x:v>
      </x:c>
      <x:c r="D133" s="32" t="str">
        <x:v>Fırat-Dicle</x:v>
      </x:c>
      <x:c r="E133" s="34" t="n">
        <x:v>21</x:v>
      </x:c>
      <x:c r="F133" s="32" t="str">
        <x:v>https://cbs1.tarimorman.gov.tr/server/rest/services/TATUS/FeatureServer/11/query?where=ID%3D21&amp;outFields=ID%2CHAVZA_ADI%2CALAN_KM2&amp;returnGeometry=true&amp;outSR=4326&amp;f=geojson</x:v>
      </x:c>
      <x:c r="G133" s="32" t="str">
        <x:v>MURSAL</x:v>
      </x:c>
      <x:c r="H133" s="32" t="str">
        <x:v>SİVAS</x:v>
      </x:c>
      <x:c r="I133" s="36"/>
      <x:c r="J133" s="36"/>
      <x:c r="K133" s="38" t="n">
        <x:v>1746</x:v>
      </x:c>
      <x:c r="L133" s="38" t="n">
        <x:v>1720</x:v>
      </x:c>
      <x:c r="M133" s="32"/>
      <x:c r="N133" s="38" t="n">
        <x:v>8.68</x:v>
      </x:c>
      <x:c r="O133" s="38"/>
      <x:c r="P133" s="38"/>
      <x:c r="Q133" s="38"/>
      <x:c r="R133" s="38"/>
      <x:c r="S133" s="38"/>
      <x:c r="T133" s="40"/>
      <x:c r="U133" s="32" t="str">
        <x:v>eşleşme yok</x:v>
      </x:c>
      <x:c r="V133" s="32" t="str">
        <x:v>C</x:v>
      </x:c>
      <x:c r="W133" s="32" t="str">
        <x:v>https://www.milligazete.com.tr/hidroelektrik-santrali-hes-nedir-turkiyede-kac-tane-hes-var</x:v>
      </x:c>
      <x:c r="X133" s="32" t="str">
        <x:v>https://www.milligazete.com.tr/hidroelektrik-santrali-hes-nedir-turkiyede-kac-tane-hes-var</x:v>
      </x:c>
      <x:c r="Y133" s="32"/>
      <x:c r="Z133" s="32" t="str">
        <x:v>10</x:v>
      </x:c>
      <x:c r="AA133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133" s="133" t="str">
        <x:v>Koordinat eksik</x:v>
      </x:c>
      <x:c r="AC133" s="133" t="str">
        <x:v>—</x:v>
      </x:c>
      <x:c r="AD133" s="133"/>
      <x:c r="AE133" s="133"/>
      <x:c r="AF133" s="133"/>
      <x:c r="AG133" s="134"/>
      <x:c r="AH133" s="134"/>
      <x:c r="AI133" s="133"/>
      <x:c r="AJ133" s="133"/>
      <x:c r="AK133" s="135"/>
      <x:c r="AL133" s="133" t="str">
        <x:v>Point</x:v>
      </x:c>
      <x:c r="AM133" s="133"/>
      <x:c r="AN133" s="133" t="str">
        <x:v>Koordinat yok</x:v>
      </x:c>
      <x:c r="AO133" s="133"/>
      <x:c r="AP133" s="133"/>
      <x:c r="AQ133" s="134"/>
      <x:c r="AR133" s="134"/>
      <x:c r="AS133" s="133"/>
      <x:c r="AT133" s="133" t="str">
        <x:v>https://cbs1.tarimorman.gov.tr/server/rest/services/TATUS/FeatureServer/7/query?where=HAVZA_ID%3D21+AND+%28BarajAdi%3D%27MURSAL%27%29&amp;outFields=OBJECTID%2CBarajAdi%2CHavzaAdi%2CHAVZA_ID%2CIl&amp;returnGeometry=true&amp;outSR=4326&amp;f=geojson</x:v>
      </x:c>
      <x:c r="AU133" s="133"/>
      <x:c r="AV133" s="133" t="str">
        <x:v>Polyline / LineString</x:v>
      </x:c>
      <x:c r="AW133" s="133"/>
      <x:c r="AX133" s="133" t="str">
        <x:v>Koordinat yok; spatial eşleme yapılamadı</x:v>
      </x:c>
      <x:c r="AY133" s="133" t="str">
        <x:v>Polygon</x:v>
      </x:c>
      <x:c r="AZ133" s="133"/>
      <x:c r="BA133" s="133" t="str">
        <x:v>Santral popup: Su alanını göster</x:v>
      </x:c>
      <x:c r="BB133" s="133" t="str">
        <x:v>Yok</x:v>
      </x:c>
      <x:c r="BC133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34" ht="30" customHeight="1">
      <x:c r="A134" s="100" t="n">
        <x:v>131</x:v>
      </x:c>
      <x:c r="B134" s="32" t="str">
        <x:v>MUSATEPE VE KAVŞAKTEPE HES</x:v>
      </x:c>
      <x:c r="C134" s="32" t="str">
        <x:v>Fırat Dicle</x:v>
      </x:c>
      <x:c r="D134" s="32" t="str">
        <x:v>Fırat-Dicle</x:v>
      </x:c>
      <x:c r="E134" s="34" t="n">
        <x:v>21</x:v>
      </x:c>
      <x:c r="F134" s="32" t="str">
        <x:v>https://cbs1.tarimorman.gov.tr/server/rest/services/TATUS/FeatureServer/11/query?where=ID%3D21&amp;outFields=ID%2CHAVZA_ADI%2CALAN_KM2&amp;returnGeometry=true&amp;outSR=4326&amp;f=geojson</x:v>
      </x:c>
      <x:c r="G134" s="32" t="str">
        <x:v>MUSATEPE VE KAVŞAKTEPE</x:v>
      </x:c>
      <x:c r="H134" s="32" t="str">
        <x:v>ŞIRNAK</x:v>
      </x:c>
      <x:c r="I134" s="36"/>
      <x:c r="J134" s="36"/>
      <x:c r="K134" s="38" t="n">
        <x:v>0</x:v>
      </x:c>
      <x:c r="L134" s="38" t="n">
        <x:v>0</x:v>
      </x:c>
      <x:c r="M134" s="32" t="str">
        <x:v>BALLI HES</x:v>
      </x:c>
      <x:c r="N134" s="38" t="n">
        <x:v>3.5</x:v>
      </x:c>
      <x:c r="O134" s="38"/>
      <x:c r="P134" s="38"/>
      <x:c r="Q134" s="38"/>
      <x:c r="R134" s="38"/>
      <x:c r="S134" s="38"/>
      <x:c r="T134" s="40"/>
      <x:c r="U134" s="32" t="str">
        <x:v>eşleşme yok</x:v>
      </x:c>
      <x:c r="V134" s="32" t="str">
        <x:v>C</x:v>
      </x:c>
      <x:c r="W134" s="32" t="str">
        <x:v>https://pusula-group.com.tr/proje-kategori/hidroelektrik-santral</x:v>
      </x:c>
      <x:c r="X134" s="32" t="str">
        <x:v>https://pusula-group.com.tr/proje-kategori/hidroelektrik-santral</x:v>
      </x:c>
      <x:c r="Y134" s="32"/>
      <x:c r="Z134" s="32" t="str">
        <x:v>BALLI HES</x:v>
      </x:c>
      <x:c r="AA134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  <x:c r="AB134" s="133" t="str">
        <x:v>Koordinat eksik</x:v>
      </x:c>
      <x:c r="AC134" s="133" t="str">
        <x:v>—</x:v>
      </x:c>
      <x:c r="AD134" s="133"/>
      <x:c r="AE134" s="133"/>
      <x:c r="AF134" s="133"/>
      <x:c r="AG134" s="134"/>
      <x:c r="AH134" s="134"/>
      <x:c r="AI134" s="133"/>
      <x:c r="AJ134" s="133"/>
      <x:c r="AK134" s="135"/>
      <x:c r="AL134" s="133" t="str">
        <x:v>Point</x:v>
      </x:c>
      <x:c r="AM134" s="133"/>
      <x:c r="AN134" s="133" t="str">
        <x:v>Koordinat yok</x:v>
      </x:c>
      <x:c r="AO134" s="133"/>
      <x:c r="AP134" s="133"/>
      <x:c r="AQ134" s="134"/>
      <x:c r="AR134" s="134"/>
      <x:c r="AS134" s="133"/>
      <x:c r="AT134" s="133" t="str">
        <x:v>https://cbs1.tarimorman.gov.tr/server/rest/services/TATUS/FeatureServer/7/query?where=HAVZA_ID%3D21+AND+%28BarajAdi%3D%27MUSATEPE+VE+KAV%C5%9EAKTEPE%27%29&amp;outFields=OBJECTID%2CBarajAdi%2CHavzaAdi%2CHAVZA_ID%2CIl&amp;returnGeometry=true&amp;outSR=4326&amp;f=geojson</x:v>
      </x:c>
      <x:c r="AU134" s="133"/>
      <x:c r="AV134" s="133" t="str">
        <x:v>Polyline / LineString</x:v>
      </x:c>
      <x:c r="AW134" s="133"/>
      <x:c r="AX134" s="133" t="str">
        <x:v>Koordinat yok; spatial eşleme yapılamadı</x:v>
      </x:c>
      <x:c r="AY134" s="133" t="str">
        <x:v>Polygon</x:v>
      </x:c>
      <x:c r="AZ134" s="133"/>
      <x:c r="BA134" s="133" t="str">
        <x:v>Santral popup: Su alanını göster</x:v>
      </x:c>
      <x:c r="BB134" s="133" t="str">
        <x:v>Yok</x:v>
      </x:c>
      <x:c r="BC134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35" ht="30" customHeight="1">
      <x:c r="A135" s="100" t="n">
        <x:v>132</x:v>
      </x:c>
      <x:c r="B135" s="32" t="str">
        <x:v>OBRUK HES</x:v>
      </x:c>
      <x:c r="C135" s="32" t="str">
        <x:v>Kızılırmak</x:v>
      </x:c>
      <x:c r="D135" s="32" t="str">
        <x:v>Kızılırmak</x:v>
      </x:c>
      <x:c r="E135" s="34" t="n">
        <x:v>15</x:v>
      </x:c>
      <x:c r="F135" s="32" t="str">
        <x:v>https://cbs1.tarimorman.gov.tr/server/rest/services/TATUS/FeatureServer/11/query?where=ID%3D15&amp;outFields=ID%2CHAVZA_ADI%2CALAN_KM2&amp;returnGeometry=true&amp;outSR=4326&amp;f=geojson</x:v>
      </x:c>
      <x:c r="G135" s="32" t="str">
        <x:v>OBRUK</x:v>
      </x:c>
      <x:c r="H135" s="32" t="str">
        <x:v>ÇORUM</x:v>
      </x:c>
      <x:c r="I135" s="36" t="n">
        <x:v>40.770278</x:v>
      </x:c>
      <x:c r="J135" s="36" t="n">
        <x:v>34.788056</x:v>
      </x:c>
      <x:c r="K135" s="38" t="n">
        <x:v>510</x:v>
      </x:c>
      <x:c r="L135" s="38" t="n">
        <x:v>506</x:v>
      </x:c>
      <x:c r="M135" s="32" t="str">
        <x:v>KARGI KIZILIRMAK HES</x:v>
      </x:c>
      <x:c r="N135" s="38" t="n">
        <x:v>202.8</x:v>
      </x:c>
      <x:c r="O135" s="38" t="n">
        <x:v>375</x:v>
      </x:c>
      <x:c r="P135" s="38" t="n">
        <x:v>427.16</x:v>
      </x:c>
      <x:c r="Q135" s="38" t="n">
        <x:v>297.72</x:v>
      </x:c>
      <x:c r="R135" s="38" t="n">
        <x:v>47.62</x:v>
      </x:c>
      <x:c r="S135" s="38" t="n">
        <x:v>7.37</x:v>
      </x:c>
      <x:c r="T135" s="40" t="n">
        <x:v>46278.81434027778</x:v>
      </x:c>
      <x:c r="U135" s="32" t="str">
        <x:v>exact</x:v>
      </x:c>
      <x:c r="V135" s="32" t="str">
        <x:v>A</x:v>
      </x:c>
      <x:c r="W135" s="32" t="str">
        <x:v>Yüklü Debi_ve_Kurulu_Guc-13092026.xlsx</x:v>
      </x:c>
      <x:c r="X135" s="32" t="str">
        <x:v>Yüklü Debi_ve_Kurulu_Guc-13092026.xlsx</x:v>
      </x:c>
      <x:c r="Y135" s="32" t="str">
        <x:v>https://turkiyebarajlar.com/baraj/obruk</x:v>
      </x:c>
      <x:c r="Z135" s="32" t="str">
        <x:v>KARGI KIZILIRMAK HES</x:v>
      </x:c>
      <x:c r="AA135" s="101"/>
      <x:c r="AB135" s="133" t="str">
        <x:v>Doğrulanmış koordinat mevcut</x:v>
      </x:c>
      <x:c r="AC135" s="133" t="str">
        <x:v>HES / baraj noktası</x:v>
      </x:c>
      <x:c r="AD135" s="133" t="n">
        <x:v>699</x:v>
      </x:c>
      <x:c r="AE135" s="133" t="str">
        <x:v>OBRUK HES</x:v>
      </x:c>
      <x:c r="AF135" s="133" t="str">
        <x:v>Çorum</x:v>
      </x:c>
      <x:c r="AG135" s="134" t="n">
        <x:v>40.77</x:v>
      </x:c>
      <x:c r="AH135" s="134" t="n">
        <x:v>34.791</x:v>
      </x:c>
      <x:c r="AI135" s="133" t="str">
        <x:v>Tam ad eşleşmesi</x:v>
      </x:c>
      <x:c r="AJ135" s="133" t="str">
        <x:v>Yüksek</x:v>
      </x:c>
      <x:c r="AK135" s="135" t="n">
        <x:v>0.25</x:v>
      </x:c>
      <x:c r="AL135" s="133" t="str">
        <x:v>Point</x:v>
      </x:c>
      <x:c r="AM135" s="133" t="str">
        <x:v>{"type": "Point", "coordinates": [34.788056, 40.770278]}</x:v>
      </x:c>
      <x:c r="AN135" s="133" t="str">
        <x:v>HES / baraj noktası</x:v>
      </x:c>
      <x:c r="AO135" s="133"/>
      <x:c r="AP135" s="133"/>
      <x:c r="AQ135" s="134"/>
      <x:c r="AR135" s="134"/>
      <x:c r="AS135" s="133"/>
      <x:c r="AT135" s="133" t="str">
        <x:v>https://cbs1.tarimorman.gov.tr/server/rest/services/TATUS/FeatureServer/7/query?where=HAVZA_ID%3D15+AND+%28BarajAdi%3D%27OBRUK%27%29&amp;outFields=OBJECTID%2CBarajAdi%2CHavzaAdi%2CHAVZA_ID%2CIl&amp;returnGeometry=true&amp;outSR=4326&amp;f=geojson</x:v>
      </x:c>
      <x:c r="AU135" s="133" t="str">
        <x:v>Kızılırmak</x:v>
      </x:c>
      <x:c r="AV135" s="133" t="str">
        <x:v>Polyline / LineString</x:v>
      </x:c>
      <x:c r="AW135" s="133" t="str">
        <x:v>https://cbs1.tarimorman.gov.tr/server/rest/services/TATUS/FeatureServer/8/query?where=HAVZA_ID%3D15&amp;geometry=34.788056%2C40.770278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5" s="133" t="str">
        <x:v>Havza ana akarsuyu ön-eşleme; TATUS spatial query ile doğrulanmalı</x:v>
      </x:c>
      <x:c r="AY135" s="133" t="str">
        <x:v>Polygon</x:v>
      </x:c>
      <x:c r="AZ135" s="133" t="str">
        <x:v>https://cbs1.tarimorman.gov.tr/server/rest/services/TATUS/FeatureServer/9/query?where=1%3D1&amp;geometry=34.788056%2C40.770278&amp;geometryType=esriGeometryPoint&amp;inSR=4326&amp;spatialRel=esriSpatialRelIntersects&amp;outFields=%2A&amp;returnGeometry=true&amp;outSR=4326&amp;resultRecordCount=5&amp;f=geojson</x:v>
      </x:c>
      <x:c r="BA135" s="133" t="str">
        <x:v>Santral popup: Su alanını göster</x:v>
      </x:c>
      <x:c r="BB135" s="133" t="str">
        <x:v>Yüksek</x:v>
      </x:c>
      <x:c r="BC135" s="133" t="str">
        <x:v>TATUS baraj point doğrudan eşleşmesi bu çalışma kitabında çözülmedi; sorgu URL'si eklendi</x:v>
      </x:c>
    </x:row>
    <x:row r="136" ht="30" customHeight="1">
      <x:c r="A136" s="100" t="n">
        <x:v>133</x:v>
      </x:c>
      <x:c r="B136" s="32" t="str">
        <x:v>OYMAPINAR HES</x:v>
      </x:c>
      <x:c r="C136" s="32" t="str">
        <x:v>Orta Akdeniz</x:v>
      </x:c>
      <x:c r="D136" s="32" t="str">
        <x:v>Antalya</x:v>
      </x:c>
      <x:c r="E136" s="34" t="n">
        <x:v>9</x:v>
      </x:c>
      <x:c r="F136" s="32" t="str">
        <x:v>https://cbs1.tarimorman.gov.tr/server/rest/services/TATUS/FeatureServer/11/query?where=ID%3D9&amp;outFields=ID%2CHAVZA_ADI%2CALAN_KM2&amp;returnGeometry=true&amp;outSR=4326&amp;f=geojson</x:v>
      </x:c>
      <x:c r="G136" s="32" t="str">
        <x:v>OYMAPINAR</x:v>
      </x:c>
      <x:c r="H136" s="32" t="str">
        <x:v>ANTALYA</x:v>
      </x:c>
      <x:c r="I136" s="36" t="n">
        <x:v>36.908</x:v>
      </x:c>
      <x:c r="J136" s="36" t="n">
        <x:v>31.53</x:v>
      </x:c>
      <x:c r="K136" s="38" t="n">
        <x:v>184</x:v>
      </x:c>
      <x:c r="L136" s="38" t="n">
        <x:v>166</x:v>
      </x:c>
      <x:c r="M136" s="32"/>
      <x:c r="N136" s="38" t="n">
        <x:v>540</x:v>
      </x:c>
      <x:c r="O136" s="38" t="n">
        <x:v>450</x:v>
      </x:c>
      <x:c r="P136" s="38" t="n">
        <x:v>322.53</x:v>
      </x:c>
      <x:c r="Q136" s="38" t="n">
        <x:v>239.22</x:v>
      </x:c>
      <x:c r="R136" s="38" t="n">
        <x:v>67.17</x:v>
      </x:c>
      <x:c r="S136" s="38" t="n">
        <x:v>25.32</x:v>
      </x:c>
      <x:c r="T136" s="40" t="n">
        <x:v>46278.81434027778</x:v>
      </x:c>
      <x:c r="U136" s="32" t="str">
        <x:v>exact</x:v>
      </x:c>
      <x:c r="V136" s="32" t="str">
        <x:v>B</x:v>
      </x:c>
      <x:c r="W136" s="32" t="str">
        <x:v>Yüklü Debi_ve_Kurulu_Guc-13092026.xlsx</x:v>
      </x:c>
      <x:c r="X136" s="32" t="str">
        <x:v>Yüklü Debi_ve_Kurulu_Guc-13092026.xlsx</x:v>
      </x:c>
      <x:c r="Y136" s="32" t="str">
        <x:v>hes_MERKEZI_LISTESI.xlsx — trafo merkezi koordinatı (yaklaşık)</x:v>
      </x:c>
      <x:c r="Z136" s="32" t="str">
        <x:v>10</x:v>
      </x:c>
      <x:c r="AA136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36" s="133" t="str">
        <x:v>Trafo merkezi koordinatı ile tamamlandı</x:v>
      </x:c>
      <x:c r="AC136" s="133" t="str">
        <x:v>Trafo merkezi / elektrik bağlantı noktası (yaklaşık)</x:v>
      </x:c>
      <x:c r="AD136" s="133" t="n">
        <x:v>1696</x:v>
      </x:c>
      <x:c r="AE136" s="133" t="str">
        <x:v>OYMAPINAR HES</x:v>
      </x:c>
      <x:c r="AF136" s="133" t="str">
        <x:v>Antalya</x:v>
      </x:c>
      <x:c r="AG136" s="134" t="n">
        <x:v>36.908</x:v>
      </x:c>
      <x:c r="AH136" s="134" t="n">
        <x:v>31.53</x:v>
      </x:c>
      <x:c r="AI136" s="133" t="str">
        <x:v>Tam ad eşleşmesi</x:v>
      </x:c>
      <x:c r="AJ136" s="133" t="str">
        <x:v>Yüksek</x:v>
      </x:c>
      <x:c r="AK136" s="135"/>
      <x:c r="AL136" s="133" t="str">
        <x:v>Point</x:v>
      </x:c>
      <x:c r="AM136" s="133" t="str">
        <x:v>{"type": "Point", "coordinates": [31.53, 36.908]}</x:v>
      </x:c>
      <x:c r="AN136" s="133" t="str">
        <x:v>Trafo merkezi / elektrik bağlantı noktası (yaklaşık)</x:v>
      </x:c>
      <x:c r="AO136" s="133"/>
      <x:c r="AP136" s="133"/>
      <x:c r="AQ136" s="134"/>
      <x:c r="AR136" s="134"/>
      <x:c r="AS136" s="133"/>
      <x:c r="AT136" s="133" t="str">
        <x:v>https://cbs1.tarimorman.gov.tr/server/rest/services/TATUS/FeatureServer/7/query?where=HAVZA_ID%3D9+AND+%28BarajAdi%3D%27OYMAPINAR%27%29&amp;outFields=OBJECTID%2CBarajAdi%2CHavzaAdi%2CHAVZA_ID%2CIl&amp;returnGeometry=true&amp;outSR=4326&amp;f=geojson</x:v>
      </x:c>
      <x:c r="AU136" s="133"/>
      <x:c r="AV136" s="133" t="str">
        <x:v>Polyline / LineString</x:v>
      </x:c>
      <x:c r="AW136" s="133" t="str">
        <x:v>https://cbs1.tarimorman.gov.tr/server/rest/services/TATUS/FeatureServer/8/query?where=HAVZA_ID%3D9&amp;geometry=31.530000%2C36.908000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6" s="133" t="str">
        <x:v>TATUS spatial query hazır; en yakın/uygun LineString seçilmeli</x:v>
      </x:c>
      <x:c r="AY136" s="133" t="str">
        <x:v>Polygon</x:v>
      </x:c>
      <x:c r="AZ136" s="133" t="str">
        <x:v>https://cbs1.tarimorman.gov.tr/server/rest/services/TATUS/FeatureServer/9/query?where=1%3D1&amp;geometry=31.530000%2C36.908000&amp;geometryType=esriGeometryPoint&amp;inSR=4326&amp;spatialRel=esriSpatialRelIntersects&amp;outFields=%2A&amp;returnGeometry=true&amp;outSR=4326&amp;resultRecordCount=5&amp;f=geojson</x:v>
      </x:c>
      <x:c r="BA136" s="133" t="str">
        <x:v>Santral popup: Su alanını göster</x:v>
      </x:c>
      <x:c r="BB136" s="133" t="str">
        <x:v>Orta-Düşük</x:v>
      </x:c>
      <x:c r="BC136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37" ht="30" customHeight="1">
      <x:c r="A137" s="100" t="n">
        <x:v>134</x:v>
      </x:c>
      <x:c r="B137" s="32" t="str">
        <x:v>ÖZLÜCE HES</x:v>
      </x:c>
      <x:c r="C137" s="32" t="str">
        <x:v>Fırat Dicle</x:v>
      </x:c>
      <x:c r="D137" s="32" t="str">
        <x:v>Fırat-Dicle</x:v>
      </x:c>
      <x:c r="E137" s="34" t="n">
        <x:v>21</x:v>
      </x:c>
      <x:c r="F137" s="32" t="str">
        <x:v>https://cbs1.tarimorman.gov.tr/server/rest/services/TATUS/FeatureServer/11/query?where=ID%3D21&amp;outFields=ID%2CHAVZA_ADI%2CALAN_KM2&amp;returnGeometry=true&amp;outSR=4326&amp;f=geojson</x:v>
      </x:c>
      <x:c r="G137" s="32" t="str">
        <x:v>ÖZLÜCE</x:v>
      </x:c>
      <x:c r="H137" s="32" t="str">
        <x:v>BİNGÖL</x:v>
      </x:c>
      <x:c r="I137" s="36" t="n">
        <x:v>39.128</x:v>
      </x:c>
      <x:c r="J137" s="36" t="n">
        <x:v>40.086</x:v>
      </x:c>
      <x:c r="K137" s="38" t="n">
        <x:v>1140.95</x:v>
      </x:c>
      <x:c r="L137" s="38" t="n">
        <x:v>1105</x:v>
      </x:c>
      <x:c r="M137" s="32" t="str">
        <x:v>PEMBELİK HES</x:v>
      </x:c>
      <x:c r="N137" s="38" t="n">
        <x:v>170</x:v>
      </x:c>
      <x:c r="O137" s="38"/>
      <x:c r="P137" s="38"/>
      <x:c r="Q137" s="38"/>
      <x:c r="R137" s="38"/>
      <x:c r="S137" s="38"/>
      <x:c r="T137" s="40"/>
      <x:c r="U137" s="32" t="str">
        <x:v>eşleşme yok</x:v>
      </x:c>
      <x:c r="V137" s="32" t="str">
        <x:v>C</x:v>
      </x:c>
      <x:c r="W137" s="32" t="str">
        <x:v>https://www.enerjiatlasi.com/hidroelektrik/?v=1.0.24</x:v>
      </x:c>
      <x:c r="X137" s="32" t="str">
        <x:v>https://openinframap.org/stats/area/Turkey/plants?source=hydro</x:v>
      </x:c>
      <x:c r="Y137" s="32" t="str">
        <x:v>hes_MERKEZI_LISTESI.xlsx — trafo merkezi koordinatı (yaklaşık)</x:v>
      </x:c>
      <x:c r="Z137" s="32" t="str">
        <x:v>PEMBELİK HES</x:v>
      </x:c>
      <x:c r="AA137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37" s="133" t="str">
        <x:v>Trafo merkezi koordinatı ile tamamlandı</x:v>
      </x:c>
      <x:c r="AC137" s="133" t="str">
        <x:v>Trafo merkezi / elektrik bağlantı noktası (yaklaşık)</x:v>
      </x:c>
      <x:c r="AD137" s="133" t="n">
        <x:v>98</x:v>
      </x:c>
      <x:c r="AE137" s="133" t="str">
        <x:v>ÖZLÜCE HES</x:v>
      </x:c>
      <x:c r="AF137" s="133" t="str">
        <x:v>Elazığ</x:v>
      </x:c>
      <x:c r="AG137" s="134" t="n">
        <x:v>39.128</x:v>
      </x:c>
      <x:c r="AH137" s="134" t="n">
        <x:v>40.086</x:v>
      </x:c>
      <x:c r="AI137" s="133" t="str">
        <x:v>Tam ad eşleşmesi</x:v>
      </x:c>
      <x:c r="AJ137" s="133" t="str">
        <x:v>Yüksek</x:v>
      </x:c>
      <x:c r="AK137" s="135"/>
      <x:c r="AL137" s="133" t="str">
        <x:v>Point</x:v>
      </x:c>
      <x:c r="AM137" s="133" t="str">
        <x:v>{"type": "Point", "coordinates": [40.086, 39.128]}</x:v>
      </x:c>
      <x:c r="AN137" s="133" t="str">
        <x:v>Trafo merkezi / elektrik bağlantı noktası (yaklaşık)</x:v>
      </x:c>
      <x:c r="AO137" s="133"/>
      <x:c r="AP137" s="133"/>
      <x:c r="AQ137" s="134"/>
      <x:c r="AR137" s="134"/>
      <x:c r="AS137" s="133"/>
      <x:c r="AT137" s="133" t="str">
        <x:v>https://cbs1.tarimorman.gov.tr/server/rest/services/TATUS/FeatureServer/7/query?where=HAVZA_ID%3D21+AND+%28BarajAdi%3D%27%C3%96ZL%C3%9CCE%27%29&amp;outFields=OBJECTID%2CBarajAdi%2CHavzaAdi%2CHAVZA_ID%2CIl&amp;returnGeometry=true&amp;outSR=4326&amp;f=geojson</x:v>
      </x:c>
      <x:c r="AU137" s="133"/>
      <x:c r="AV137" s="133" t="str">
        <x:v>Polyline / LineString</x:v>
      </x:c>
      <x:c r="AW137" s="133" t="str">
        <x:v>https://cbs1.tarimorman.gov.tr/server/rest/services/TATUS/FeatureServer/8/query?where=HAVZA_ID%3D21&amp;geometry=40.086000%2C39.128000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7" s="133" t="str">
        <x:v>TATUS spatial query hazır; en yakın/uygun LineString seçilmeli</x:v>
      </x:c>
      <x:c r="AY137" s="133" t="str">
        <x:v>Polygon</x:v>
      </x:c>
      <x:c r="AZ137" s="133" t="str">
        <x:v>https://cbs1.tarimorman.gov.tr/server/rest/services/TATUS/FeatureServer/9/query?where=1%3D1&amp;geometry=40.086000%2C39.128000&amp;geometryType=esriGeometryPoint&amp;inSR=4326&amp;spatialRel=esriSpatialRelIntersects&amp;outFields=%2A&amp;returnGeometry=true&amp;outSR=4326&amp;resultRecordCount=5&amp;f=geojson</x:v>
      </x:c>
      <x:c r="BA137" s="133" t="str">
        <x:v>Santral popup: Su alanını göster</x:v>
      </x:c>
      <x:c r="BB137" s="133" t="str">
        <x:v>Orta-Düşük</x:v>
      </x:c>
      <x:c r="BC137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38" ht="30" customHeight="1">
      <x:c r="A138" s="100" t="n">
        <x:v>135</x:v>
      </x:c>
      <x:c r="B138" s="32" t="str">
        <x:v>PEMBELİK HES</x:v>
      </x:c>
      <x:c r="C138" s="32" t="str">
        <x:v>Fırat Dicle</x:v>
      </x:c>
      <x:c r="D138" s="32" t="str">
        <x:v>Fırat-Dicle</x:v>
      </x:c>
      <x:c r="E138" s="34" t="n">
        <x:v>21</x:v>
      </x:c>
      <x:c r="F138" s="32" t="str">
        <x:v>https://cbs1.tarimorman.gov.tr/server/rest/services/TATUS/FeatureServer/11/query?where=ID%3D21&amp;outFields=ID%2CHAVZA_ADI%2CALAN_KM2&amp;returnGeometry=true&amp;outSR=4326&amp;f=geojson</x:v>
      </x:c>
      <x:c r="G138" s="32" t="str">
        <x:v>PEMBELİK</x:v>
      </x:c>
      <x:c r="H138" s="32" t="str">
        <x:v>ELAZIĞ</x:v>
      </x:c>
      <x:c r="I138" s="36" t="n">
        <x:v>39.083</x:v>
      </x:c>
      <x:c r="J138" s="36" t="n">
        <x:v>39.897</x:v>
      </x:c>
      <x:c r="K138" s="38" t="n">
        <x:v>1026.4</x:v>
      </x:c>
      <x:c r="L138" s="38" t="n">
        <x:v>1005</x:v>
      </x:c>
      <x:c r="M138" s="32" t="str">
        <x:v>TATAR HES</x:v>
      </x:c>
      <x:c r="N138" s="38" t="n">
        <x:v>127</x:v>
      </x:c>
      <x:c r="O138" s="38"/>
      <x:c r="P138" s="38"/>
      <x:c r="Q138" s="38"/>
      <x:c r="R138" s="38"/>
      <x:c r="S138" s="38"/>
      <x:c r="T138" s="40"/>
      <x:c r="U138" s="32" t="str">
        <x:v>eşleşme yok</x:v>
      </x:c>
      <x:c r="V138" s="32" t="str">
        <x:v>C</x:v>
      </x:c>
      <x:c r="W138" s="32" t="str">
        <x:v>https://www.enerjiatlasi.com/hidroelektrik/?v=1.0.24</x:v>
      </x:c>
      <x:c r="X138" s="32" t="str">
        <x:v>https://openinframap.org/stats/area/Turkey/plants?source=hydro</x:v>
      </x:c>
      <x:c r="Y138" s="32" t="str">
        <x:v>hes_MERKEZI_LISTESI.xlsx — trafo merkezi koordinatı (yaklaşık)</x:v>
      </x:c>
      <x:c r="Z138" s="32" t="str">
        <x:v>TATAR HES</x:v>
      </x:c>
      <x:c r="AA138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38" s="133" t="str">
        <x:v>Trafo merkezi koordinatı ile tamamlandı</x:v>
      </x:c>
      <x:c r="AC138" s="133" t="str">
        <x:v>Trafo merkezi / elektrik bağlantı noktası (yaklaşık)</x:v>
      </x:c>
      <x:c r="AD138" s="133" t="n">
        <x:v>1231</x:v>
      </x:c>
      <x:c r="AE138" s="133" t="str">
        <x:v>PEMBELİK HES</x:v>
      </x:c>
      <x:c r="AF138" s="133" t="str">
        <x:v>Elazığ</x:v>
      </x:c>
      <x:c r="AG138" s="134" t="n">
        <x:v>39.083</x:v>
      </x:c>
      <x:c r="AH138" s="134" t="n">
        <x:v>39.897</x:v>
      </x:c>
      <x:c r="AI138" s="133" t="str">
        <x:v>Tam ad eşleşmesi</x:v>
      </x:c>
      <x:c r="AJ138" s="133" t="str">
        <x:v>Yüksek</x:v>
      </x:c>
      <x:c r="AK138" s="135"/>
      <x:c r="AL138" s="133" t="str">
        <x:v>Point</x:v>
      </x:c>
      <x:c r="AM138" s="133" t="str">
        <x:v>{"type": "Point", "coordinates": [39.897, 39.083]}</x:v>
      </x:c>
      <x:c r="AN138" s="133" t="str">
        <x:v>Trafo merkezi / elektrik bağlantı noktası (yaklaşık)</x:v>
      </x:c>
      <x:c r="AO138" s="133"/>
      <x:c r="AP138" s="133"/>
      <x:c r="AQ138" s="134"/>
      <x:c r="AR138" s="134"/>
      <x:c r="AS138" s="133"/>
      <x:c r="AT138" s="133" t="str">
        <x:v>https://cbs1.tarimorman.gov.tr/server/rest/services/TATUS/FeatureServer/7/query?where=HAVZA_ID%3D21+AND+%28BarajAdi%3D%27PEMBEL%C4%B0K%27%29&amp;outFields=OBJECTID%2CBarajAdi%2CHavzaAdi%2CHAVZA_ID%2CIl&amp;returnGeometry=true&amp;outSR=4326&amp;f=geojson</x:v>
      </x:c>
      <x:c r="AU138" s="133"/>
      <x:c r="AV138" s="133" t="str">
        <x:v>Polyline / LineString</x:v>
      </x:c>
      <x:c r="AW138" s="133" t="str">
        <x:v>https://cbs1.tarimorman.gov.tr/server/rest/services/TATUS/FeatureServer/8/query?where=HAVZA_ID%3D21&amp;geometry=39.897000%2C39.083000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8" s="133" t="str">
        <x:v>TATUS spatial query hazır; en yakın/uygun LineString seçilmeli</x:v>
      </x:c>
      <x:c r="AY138" s="133" t="str">
        <x:v>Polygon</x:v>
      </x:c>
      <x:c r="AZ138" s="133" t="str">
        <x:v>https://cbs1.tarimorman.gov.tr/server/rest/services/TATUS/FeatureServer/9/query?where=1%3D1&amp;geometry=39.897000%2C39.083000&amp;geometryType=esriGeometryPoint&amp;inSR=4326&amp;spatialRel=esriSpatialRelIntersects&amp;outFields=%2A&amp;returnGeometry=true&amp;outSR=4326&amp;resultRecordCount=5&amp;f=geojson</x:v>
      </x:c>
      <x:c r="BA138" s="133" t="str">
        <x:v>Santral popup: Su alanını göster</x:v>
      </x:c>
      <x:c r="BB138" s="133" t="str">
        <x:v>Orta-Düşük</x:v>
      </x:c>
      <x:c r="BC138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39" ht="30" customHeight="1">
      <x:c r="A139" s="100" t="n">
        <x:v>136</x:v>
      </x:c>
      <x:c r="B139" s="32" t="str">
        <x:v>REŞADİYE HES</x:v>
      </x:c>
      <x:c r="C139" s="32" t="str">
        <x:v>Yeşilırmak</x:v>
      </x:c>
      <x:c r="D139" s="32" t="str">
        <x:v>Yeşilırmak</x:v>
      </x:c>
      <x:c r="E139" s="34" t="n">
        <x:v>14</x:v>
      </x:c>
      <x:c r="F139" s="32" t="str">
        <x:v>https://cbs1.tarimorman.gov.tr/server/rest/services/TATUS/FeatureServer/11/query?where=ID%3D14&amp;outFields=ID%2CHAVZA_ADI%2CALAN_KM2&amp;returnGeometry=true&amp;outSR=4326&amp;f=geojson</x:v>
      </x:c>
      <x:c r="G139" s="32" t="str">
        <x:v>REŞADİYE</x:v>
      </x:c>
      <x:c r="H139" s="32" t="str">
        <x:v>TOKAT</x:v>
      </x:c>
      <x:c r="I139" s="36" t="n">
        <x:v>40.348</x:v>
      </x:c>
      <x:c r="J139" s="36" t="n">
        <x:v>37.481</x:v>
      </x:c>
      <x:c r="K139" s="38" t="n">
        <x:v>531</x:v>
      </x:c>
      <x:c r="L139" s="38" t="n">
        <x:v>529</x:v>
      </x:c>
      <x:c r="M139" s="32"/>
      <x:c r="N139" s="38" t="n">
        <x:v>64.25</x:v>
      </x:c>
      <x:c r="O139" s="38"/>
      <x:c r="P139" s="38"/>
      <x:c r="Q139" s="38"/>
      <x:c r="R139" s="38"/>
      <x:c r="S139" s="38"/>
      <x:c r="T139" s="40"/>
      <x:c r="U139" s="32" t="str">
        <x:v>eşleşme yok</x:v>
      </x:c>
      <x:c r="V139" s="32" t="str">
        <x:v>C</x:v>
      </x:c>
      <x:c r="W139" s="32" t="str">
        <x:v>https://webdosya.csb.gov.tr/db/ced/icerikler/tokat-ilcdr-2024-20250912142307.pdf</x:v>
      </x:c>
      <x:c r="X139" s="32" t="str">
        <x:v>https://webdosya.csb.gov.tr/db/ced/icerikler/tokat-ilcdr-2024-20250912142307.pdf</x:v>
      </x:c>
      <x:c r="Y139" s="32" t="str">
        <x:v>hes_MERKEZI_LISTESI.xlsx — trafo merkezi koordinatı (yaklaşık)</x:v>
      </x:c>
      <x:c r="Z139" s="32" t="str">
        <x:v>10</x:v>
      </x:c>
      <x:c r="AA13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doğrulanamadı; Santral/baraj kesin koordinatı doğrulanamadığı için eşleşen trafo merkezi koordinatı harita referansı olarak kullanıldı; kesin HES konumu değildir.</x:v>
      </x:c>
      <x:c r="AB139" s="133" t="str">
        <x:v>Trafo merkezi koordinatı ile tamamlandı</x:v>
      </x:c>
      <x:c r="AC139" s="133" t="str">
        <x:v>Trafo merkezi / elektrik bağlantı noktası (yaklaşık)</x:v>
      </x:c>
      <x:c r="AD139" s="133" t="n">
        <x:v>807</x:v>
      </x:c>
      <x:c r="AE139" s="133" t="str">
        <x:v>REŞADİYE HES</x:v>
      </x:c>
      <x:c r="AF139" s="133" t="str">
        <x:v>Tokat</x:v>
      </x:c>
      <x:c r="AG139" s="134" t="n">
        <x:v>40.348</x:v>
      </x:c>
      <x:c r="AH139" s="134" t="n">
        <x:v>37.481</x:v>
      </x:c>
      <x:c r="AI139" s="133" t="str">
        <x:v>Tam ad eşleşmesi</x:v>
      </x:c>
      <x:c r="AJ139" s="133" t="str">
        <x:v>Yüksek</x:v>
      </x:c>
      <x:c r="AK139" s="135"/>
      <x:c r="AL139" s="133" t="str">
        <x:v>Point</x:v>
      </x:c>
      <x:c r="AM139" s="133" t="str">
        <x:v>{"type": "Point", "coordinates": [37.481, 40.348]}</x:v>
      </x:c>
      <x:c r="AN139" s="133" t="str">
        <x:v>Trafo merkezi / elektrik bağlantı noktası (yaklaşık)</x:v>
      </x:c>
      <x:c r="AO139" s="133"/>
      <x:c r="AP139" s="133"/>
      <x:c r="AQ139" s="134"/>
      <x:c r="AR139" s="134"/>
      <x:c r="AS139" s="133"/>
      <x:c r="AT139" s="133" t="str">
        <x:v>https://cbs1.tarimorman.gov.tr/server/rest/services/TATUS/FeatureServer/7/query?where=HAVZA_ID%3D14+AND+%28BarajAdi%3D%27RE%C5%9EAD%C4%B0YE%27%29&amp;outFields=OBJECTID%2CBarajAdi%2CHavzaAdi%2CHAVZA_ID%2CIl&amp;returnGeometry=true&amp;outSR=4326&amp;f=geojson</x:v>
      </x:c>
      <x:c r="AU139" s="133" t="str">
        <x:v>Yeşilırmak</x:v>
      </x:c>
      <x:c r="AV139" s="133" t="str">
        <x:v>Polyline / LineString</x:v>
      </x:c>
      <x:c r="AW139" s="133" t="str">
        <x:v>https://cbs1.tarimorman.gov.tr/server/rest/services/TATUS/FeatureServer/8/query?where=HAVZA_ID%3D14&amp;geometry=37.481000%2C40.348000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39" s="133" t="str">
        <x:v>Havza ana akarsuyu ön-eşleme; TATUS spatial query ile doğrulanmalı</x:v>
      </x:c>
      <x:c r="AY139" s="133" t="str">
        <x:v>Polygon</x:v>
      </x:c>
      <x:c r="AZ139" s="133" t="str">
        <x:v>https://cbs1.tarimorman.gov.tr/server/rest/services/TATUS/FeatureServer/9/query?where=1%3D1&amp;geometry=37.481000%2C40.348000&amp;geometryType=esriGeometryPoint&amp;inSR=4326&amp;spatialRel=esriSpatialRelIntersects&amp;outFields=%2A&amp;returnGeometry=true&amp;outSR=4326&amp;resultRecordCount=5&amp;f=geojson</x:v>
      </x:c>
      <x:c r="BA139" s="133" t="str">
        <x:v>Santral popup: Su alanını göster</x:v>
      </x:c>
      <x:c r="BB139" s="133" t="str">
        <x:v>Orta-Düşük</x:v>
      </x:c>
      <x:c r="BC139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40" ht="30" customHeight="1">
      <x:c r="A140" s="100" t="n">
        <x:v>137</x:v>
      </x:c>
      <x:c r="B140" s="32" t="str">
        <x:v>SANİBEY HES</x:v>
      </x:c>
      <x:c r="C140" s="32" t="str">
        <x:v>Seyhan</x:v>
      </x:c>
      <x:c r="D140" s="32" t="str">
        <x:v>Seyhan</x:v>
      </x:c>
      <x:c r="E140" s="34" t="n">
        <x:v>18</x:v>
      </x:c>
      <x:c r="F140" s="32" t="str">
        <x:v>https://cbs1.tarimorman.gov.tr/server/rest/services/TATUS/FeatureServer/11/query?where=ID%3D18&amp;outFields=ID%2CHAVZA_ADI%2CALAN_KM2&amp;returnGeometry=true&amp;outSR=4326&amp;f=geojson</x:v>
      </x:c>
      <x:c r="G140" s="32" t="str">
        <x:v>YEDİGÖZE</x:v>
      </x:c>
      <x:c r="H140" s="32" t="str">
        <x:v>ADANA</x:v>
      </x:c>
      <x:c r="I140" s="36" t="n">
        <x:v>37.401506</x:v>
      </x:c>
      <x:c r="J140" s="36" t="n">
        <x:v>35.445297</x:v>
      </x:c>
      <x:c r="K140" s="38" t="n">
        <x:v>235</x:v>
      </x:c>
      <x:c r="L140" s="38" t="n">
        <x:v>210</x:v>
      </x:c>
      <x:c r="M140" s="32" t="str">
        <x:v>ÇATALAN HES</x:v>
      </x:c>
      <x:c r="N140" s="38" t="n">
        <x:v>317</x:v>
      </x:c>
      <x:c r="O140" s="38" t="n">
        <x:v>380</x:v>
      </x:c>
      <x:c r="P140" s="38" t="n">
        <x:v>642.82</x:v>
      </x:c>
      <x:c r="Q140" s="38" t="n">
        <x:v>342.35</x:v>
      </x:c>
      <x:c r="R140" s="38" t="n">
        <x:v>276.57</x:v>
      </x:c>
      <x:c r="S140" s="38" t="n">
        <x:v>63.64</x:v>
      </x:c>
      <x:c r="T140" s="40" t="n">
        <x:v>46278.81434027778</x:v>
      </x:c>
      <x:c r="U140" s="32" t="str">
        <x:v>alias</x:v>
      </x:c>
      <x:c r="V140" s="32" t="str">
        <x:v>A</x:v>
      </x:c>
      <x:c r="W140" s="32" t="str">
        <x:v>Yüklü Debi_ve_Kurulu_Guc-13092026.xlsx</x:v>
      </x:c>
      <x:c r="X140" s="32" t="str">
        <x:v>Yüklü Debi_ve_Kurulu_Guc-13092026.xlsx</x:v>
      </x:c>
      <x:c r="Y140" s="32" t="str">
        <x:v>https://turkiyebarajlar.com/baraj/yedigoze</x:v>
      </x:c>
      <x:c r="Z140" s="32" t="str">
        <x:v>ÇATALAN HES</x:v>
      </x:c>
      <x:c r="AA140" s="101" t="str">
        <x:v>Baraj adı eşleşmesi: YEDİGÖZE</x:v>
      </x:c>
      <x:c r="AB140" s="133" t="str">
        <x:v>Doğrulanmış koordinat mevcut</x:v>
      </x:c>
      <x:c r="AC140" s="133" t="str">
        <x:v>HES / baraj noktası</x:v>
      </x:c>
      <x:c r="AD140" s="133" t="n">
        <x:v>467</x:v>
      </x:c>
      <x:c r="AE140" s="133" t="str">
        <x:v>SANİBEY HES</x:v>
      </x:c>
      <x:c r="AF140" s="133" t="str">
        <x:v>Adana</x:v>
      </x:c>
      <x:c r="AG140" s="134" t="n">
        <x:v>37.4</x:v>
      </x:c>
      <x:c r="AH140" s="134" t="n">
        <x:v>35.444</x:v>
      </x:c>
      <x:c r="AI140" s="133" t="str">
        <x:v>Tam ad eşleşmesi</x:v>
      </x:c>
      <x:c r="AJ140" s="133" t="str">
        <x:v>Yüksek</x:v>
      </x:c>
      <x:c r="AK140" s="135" t="n">
        <x:v>0.203</x:v>
      </x:c>
      <x:c r="AL140" s="133" t="str">
        <x:v>Point</x:v>
      </x:c>
      <x:c r="AM140" s="133" t="str">
        <x:v>{"type": "Point", "coordinates": [35.445297, 37.401506]}</x:v>
      </x:c>
      <x:c r="AN140" s="133" t="str">
        <x:v>HES / baraj noktası</x:v>
      </x:c>
      <x:c r="AO140" s="133"/>
      <x:c r="AP140" s="133"/>
      <x:c r="AQ140" s="134"/>
      <x:c r="AR140" s="134"/>
      <x:c r="AS140" s="133"/>
      <x:c r="AT140" s="133" t="str">
        <x:v>https://cbs1.tarimorman.gov.tr/server/rest/services/TATUS/FeatureServer/7/query?where=HAVZA_ID%3D18+AND+%28BarajAdi%3D%27YED%C4%B0G%C3%96ZE%27+OR+BarajAdi%3D%27SAN%C4%B0BEY%27%29&amp;outFields=OBJECTID%2CBarajAdi%2CHavzaAdi%2CHAVZA_ID%2CIl&amp;returnGeometry=true&amp;outSR=4326&amp;f=geojson</x:v>
      </x:c>
      <x:c r="AU140" s="133" t="str">
        <x:v>Seyhan</x:v>
      </x:c>
      <x:c r="AV140" s="133" t="str">
        <x:v>Polyline / LineString</x:v>
      </x:c>
      <x:c r="AW140" s="133" t="str">
        <x:v>https://cbs1.tarimorman.gov.tr/server/rest/services/TATUS/FeatureServer/8/query?where=HAVZA_ID%3D18&amp;geometry=35.445297%2C37.401506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0" s="133" t="str">
        <x:v>Havza ana akarsuyu ön-eşleme; TATUS spatial query ile doğrulanmalı</x:v>
      </x:c>
      <x:c r="AY140" s="133" t="str">
        <x:v>Polygon</x:v>
      </x:c>
      <x:c r="AZ140" s="133" t="str">
        <x:v>https://cbs1.tarimorman.gov.tr/server/rest/services/TATUS/FeatureServer/9/query?where=1%3D1&amp;geometry=35.445297%2C37.401506&amp;geometryType=esriGeometryPoint&amp;inSR=4326&amp;spatialRel=esriSpatialRelIntersects&amp;outFields=%2A&amp;returnGeometry=true&amp;outSR=4326&amp;resultRecordCount=5&amp;f=geojson</x:v>
      </x:c>
      <x:c r="BA140" s="133" t="str">
        <x:v>Santral popup: Su alanını göster</x:v>
      </x:c>
      <x:c r="BB140" s="133" t="str">
        <x:v>Yüksek</x:v>
      </x:c>
      <x:c r="BC140" s="133" t="str">
        <x:v>TATUS baraj point doğrudan eşleşmesi bu çalışma kitabında çözülmedi; sorgu URL'si eklendi</x:v>
      </x:c>
    </x:row>
    <x:row r="141" ht="30" customHeight="1">
      <x:c r="A141" s="100" t="n">
        <x:v>138</x:v>
      </x:c>
      <x:c r="B141" s="32" t="str">
        <x:v>SARIGÜZEL HES</x:v>
      </x:c>
      <x:c r="C141" s="32" t="str">
        <x:v>Ceyhan</x:v>
      </x:c>
      <x:c r="D141" s="32" t="str">
        <x:v>Ceyhan</x:v>
      </x:c>
      <x:c r="E141" s="34" t="n">
        <x:v>20</x:v>
      </x:c>
      <x:c r="F141" s="32" t="str">
        <x:v>https://cbs1.tarimorman.gov.tr/server/rest/services/TATUS/FeatureServer/11/query?where=ID%3D20&amp;outFields=ID%2CHAVZA_ADI%2CALAN_KM2&amp;returnGeometry=true&amp;outSR=4326&amp;f=geojson</x:v>
      </x:c>
      <x:c r="G141" s="32" t="str">
        <x:v>SARIGÜZEL HES</x:v>
      </x:c>
      <x:c r="H141" s="32" t="str">
        <x:v>KAHRAMANMARAŞ</x:v>
      </x:c>
      <x:c r="I141" s="36" t="n">
        <x:v>37.56744</x:v>
      </x:c>
      <x:c r="J141" s="36" t="n">
        <x:v>36.925392</x:v>
      </x:c>
      <x:c r="K141" s="38" t="n">
        <x:v>868</x:v>
      </x:c>
      <x:c r="L141" s="38" t="n">
        <x:v>860</x:v>
      </x:c>
      <x:c r="M141" s="32" t="str">
        <x:v>MENZELET HES</x:v>
      </x:c>
      <x:c r="N141" s="38" t="n">
        <x:v>95</x:v>
      </x:c>
      <x:c r="O141" s="38" t="n">
        <x:v>99.2</x:v>
      </x:c>
      <x:c r="P141" s="38" t="n">
        <x:v>59.4</x:v>
      </x:c>
      <x:c r="Q141" s="38" t="n">
        <x:v>20.33</x:v>
      </x:c>
      <x:c r="R141" s="38" t="n">
        <x:v>31.88</x:v>
      </x:c>
      <x:c r="S141" s="38" t="n">
        <x:v>9.34</x:v>
      </x:c>
      <x:c r="T141" s="40" t="n">
        <x:v>46278.81434027778</x:v>
      </x:c>
      <x:c r="U141" s="32" t="str">
        <x:v>exact</x:v>
      </x:c>
      <x:c r="V141" s="32" t="str">
        <x:v>A</x:v>
      </x:c>
      <x:c r="W141" s="32" t="str">
        <x:v>Yüklü Debi_ve_Kurulu_Guc-13092026.xlsx</x:v>
      </x:c>
      <x:c r="X141" s="32" t="str">
        <x:v>Yüklü Debi_ve_Kurulu_Guc-13092026.xlsx</x:v>
      </x:c>
      <x:c r="Y141" s="32" t="str">
        <x:v>https://cbs1.tarimorman.gov.tr/server/rest/services/TATUS/FeatureServer/7</x:v>
      </x:c>
      <x:c r="Z141" s="32" t="str">
        <x:v>MENZELET HES</x:v>
      </x:c>
      <x:c r="AA141" s="101"/>
      <x:c r="AB141" s="133" t="str">
        <x:v>Doğrulanmış koordinat mevcut</x:v>
      </x:c>
      <x:c r="AC141" s="133" t="str">
        <x:v>HES / baraj noktası</x:v>
      </x:c>
      <x:c r="AD141" s="133" t="n">
        <x:v>694</x:v>
      </x:c>
      <x:c r="AE141" s="133" t="str">
        <x:v>SARIGÜZEL HES</x:v>
      </x:c>
      <x:c r="AF141" s="133" t="str">
        <x:v>Kahramanmaraş</x:v>
      </x:c>
      <x:c r="AG141" s="134" t="n">
        <x:v>37.893</x:v>
      </x:c>
      <x:c r="AH141" s="134" t="n">
        <x:v>36.964</x:v>
      </x:c>
      <x:c r="AI141" s="133" t="str">
        <x:v>Tam ad eşleşmesi</x:v>
      </x:c>
      <x:c r="AJ141" s="133" t="str">
        <x:v>Yüksek</x:v>
      </x:c>
      <x:c r="AK141" s="135" t="n">
        <x:v>36.359</x:v>
      </x:c>
      <x:c r="AL141" s="133" t="str">
        <x:v>Point</x:v>
      </x:c>
      <x:c r="AM141" s="133" t="str">
        <x:v>{"type": "Point", "coordinates": [36.925392, 37.56744]}</x:v>
      </x:c>
      <x:c r="AN141" s="133" t="str">
        <x:v>TATUS Baraj Gözlem Point</x:v>
      </x:c>
      <x:c r="AO141" s="133" t="str">
        <x:v>SARIGÜZEL HES</x:v>
      </x:c>
      <x:c r="AP141" s="133" t="n">
        <x:v>1</x:v>
      </x:c>
      <x:c r="AQ141" s="134" t="n">
        <x:v>37.56744</x:v>
      </x:c>
      <x:c r="AR141" s="134" t="n">
        <x:v>36.925392</x:v>
      </x:c>
      <x:c r="AS141" s="133" t="str">
        <x:v>{"type": "Point", "coordinates": [36.925392, 37.56744]}</x:v>
      </x:c>
      <x:c r="AT141" s="133" t="str">
        <x:v>https://cbs1.tarimorman.gov.tr/server/rest/services/TATUS/FeatureServer/7/query?where=HAVZA_ID%3D20+AND+%28BarajAdi%3D%27SARIG%C3%9CZEL+HES%27+OR+BarajAdi%3D%27SARIG%C3%9CZEL%27%29&amp;outFields=OBJECTID%2CBarajAdi%2CHavzaAdi%2CHAVZA_ID%2CIl&amp;returnGeometry=true&amp;outSR=4326&amp;f=geojson</x:v>
      </x:c>
      <x:c r="AU141" s="133" t="str">
        <x:v>Ceyhan</x:v>
      </x:c>
      <x:c r="AV141" s="133" t="str">
        <x:v>Polyline / LineString</x:v>
      </x:c>
      <x:c r="AW141" s="133" t="str">
        <x:v>https://cbs1.tarimorman.gov.tr/server/rest/services/TATUS/FeatureServer/8/query?where=HAVZA_ID%3D20&amp;geometry=36.925392%2C37.567440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1" s="133" t="str">
        <x:v>Havza ana akarsuyu ön-eşleme; TATUS spatial query ile doğrulanmalı</x:v>
      </x:c>
      <x:c r="AY141" s="133" t="str">
        <x:v>Polygon</x:v>
      </x:c>
      <x:c r="AZ141" s="133" t="str">
        <x:v>https://cbs1.tarimorman.gov.tr/server/rest/services/TATUS/FeatureServer/9/query?where=1%3D1&amp;geometry=36.925392%2C37.567440&amp;geometryType=esriGeometryPoint&amp;inSR=4326&amp;spatialRel=esriSpatialRelIntersects&amp;outFields=%2A&amp;returnGeometry=true&amp;outSR=4326&amp;resultRecordCount=5&amp;f=geojson</x:v>
      </x:c>
      <x:c r="BA141" s="133" t="str">
        <x:v>Santral popup: Su alanını göster</x:v>
      </x:c>
      <x:c r="BB141" s="133" t="str">
        <x:v>Yüksek</x:v>
      </x:c>
      <x:c r="BC141" s="133"/>
    </x:row>
    <x:row r="142" ht="30" customHeight="1">
      <x:c r="A142" s="100" t="n">
        <x:v>139</x:v>
      </x:c>
      <x:c r="B142" s="32" t="str">
        <x:v>SARIMEHMET HES</x:v>
      </x:c>
      <x:c r="C142" s="32" t="str">
        <x:v>Van Gölü</x:v>
      </x:c>
      <x:c r="D142" s="32" t="str">
        <x:v>Van Gölü</x:v>
      </x:c>
      <x:c r="E142" s="34" t="n">
        <x:v>25</x:v>
      </x:c>
      <x:c r="F142" s="32" t="str">
        <x:v>https://cbs1.tarimorman.gov.tr/server/rest/services/TATUS/FeatureServer/11/query?where=ID%3D25&amp;outFields=ID%2CHAVZA_ADI%2CALAN_KM2&amp;returnGeometry=true&amp;outSR=4326&amp;f=geojson</x:v>
      </x:c>
      <x:c r="G142" s="32" t="str">
        <x:v>SARIMEHMET</x:v>
      </x:c>
      <x:c r="H142" s="32" t="str">
        <x:v>VAN</x:v>
      </x:c>
      <x:c r="I142" s="36" t="n">
        <x:v>38.79301</x:v>
      </x:c>
      <x:c r="J142" s="36" t="n">
        <x:v>43.74338</x:v>
      </x:c>
      <x:c r="K142" s="38" t="n">
        <x:v>2013.12</x:v>
      </x:c>
      <x:c r="L142" s="38" t="n">
        <x:v>1985.6</x:v>
      </x:c>
      <x:c r="M142" s="32"/>
      <x:c r="N142" s="38" t="n">
        <x:v>3.4</x:v>
      </x:c>
      <x:c r="O142" s="38" t="n">
        <x:v>20</x:v>
      </x:c>
      <x:c r="P142" s="38" t="n">
        <x:v>196.28</x:v>
      </x:c>
      <x:c r="Q142" s="38" t="n">
        <x:v>17.71</x:v>
      </x:c>
      <x:c r="R142" s="38" t="n">
        <x:v>41.08</x:v>
      </x:c>
      <x:c r="S142" s="38" t="n">
        <x:v>3.22</x:v>
      </x:c>
      <x:c r="T142" s="40" t="n">
        <x:v>46278.81434027778</x:v>
      </x:c>
      <x:c r="U142" s="32" t="str">
        <x:v>exact</x:v>
      </x:c>
      <x:c r="V142" s="32" t="str">
        <x:v>A</x:v>
      </x:c>
      <x:c r="W142" s="32" t="str">
        <x:v>Yüklü Debi_ve_Kurulu_Guc-13092026.xlsx</x:v>
      </x:c>
      <x:c r="X142" s="32" t="str">
        <x:v>Yüklü Debi_ve_Kurulu_Guc-13092026.xlsx</x:v>
      </x:c>
      <x:c r="Y142" s="32" t="str">
        <x:v>https://cbs1.tarimorman.gov.tr/server/rest/services/TATUS/FeatureServer/7</x:v>
      </x:c>
      <x:c r="Z142" s="32" t="str">
        <x:v>10</x:v>
      </x:c>
      <x:c r="AA142" s="101" t="str">
        <x:v>Kaskat alanında kaynak değeri '10' (belirsiz/sentinel)</x:v>
      </x:c>
      <x:c r="AB142" s="133" t="str">
        <x:v>Doğrulanmış koordinat mevcut</x:v>
      </x:c>
      <x:c r="AC142" s="133" t="str">
        <x:v>HES / baraj noktası</x:v>
      </x:c>
      <x:c r="AD142" s="133"/>
      <x:c r="AE142" s="133"/>
      <x:c r="AF142" s="133"/>
      <x:c r="AG142" s="134"/>
      <x:c r="AH142" s="134"/>
      <x:c r="AI142" s="133"/>
      <x:c r="AJ142" s="133"/>
      <x:c r="AK142" s="135"/>
      <x:c r="AL142" s="133" t="str">
        <x:v>Point</x:v>
      </x:c>
      <x:c r="AM142" s="133" t="str">
        <x:v>{"type": "Point", "coordinates": [43.74338, 38.79301]}</x:v>
      </x:c>
      <x:c r="AN142" s="133" t="str">
        <x:v>TATUS Baraj Gözlem Point</x:v>
      </x:c>
      <x:c r="AO142" s="133" t="str">
        <x:v>SARIMEHMET</x:v>
      </x:c>
      <x:c r="AP142" s="133" t="n">
        <x:v>1</x:v>
      </x:c>
      <x:c r="AQ142" s="134" t="n">
        <x:v>38.79301</x:v>
      </x:c>
      <x:c r="AR142" s="134" t="n">
        <x:v>43.74338</x:v>
      </x:c>
      <x:c r="AS142" s="133" t="str">
        <x:v>{"type": "Point", "coordinates": [43.74338, 38.79301]}</x:v>
      </x:c>
      <x:c r="AT142" s="133" t="str">
        <x:v>https://cbs1.tarimorman.gov.tr/server/rest/services/TATUS/FeatureServer/7/query?where=HAVZA_ID%3D25+AND+%28BarajAdi%3D%27SARIMEHMET%27%29&amp;outFields=OBJECTID%2CBarajAdi%2CHavzaAdi%2CHAVZA_ID%2CIl&amp;returnGeometry=true&amp;outSR=4326&amp;f=geojson</x:v>
      </x:c>
      <x:c r="AU142" s="133"/>
      <x:c r="AV142" s="133" t="str">
        <x:v>Polyline / LineString</x:v>
      </x:c>
      <x:c r="AW142" s="133" t="str">
        <x:v>https://cbs1.tarimorman.gov.tr/server/rest/services/TATUS/FeatureServer/8/query?where=HAVZA_ID%3D25&amp;geometry=43.743380%2C38.793010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2" s="133" t="str">
        <x:v>TATUS spatial query hazır; en yakın/uygun LineString seçilmeli</x:v>
      </x:c>
      <x:c r="AY142" s="133" t="str">
        <x:v>Polygon</x:v>
      </x:c>
      <x:c r="AZ142" s="133" t="str">
        <x:v>https://cbs1.tarimorman.gov.tr/server/rest/services/TATUS/FeatureServer/9/query?where=1%3D1&amp;geometry=43.743380%2C38.793010&amp;geometryType=esriGeometryPoint&amp;inSR=4326&amp;spatialRel=esriSpatialRelIntersects&amp;outFields=%2A&amp;returnGeometry=true&amp;outSR=4326&amp;resultRecordCount=5&amp;f=geojson</x:v>
      </x:c>
      <x:c r="BA142" s="133" t="str">
        <x:v>Santral popup: Su alanını göster</x:v>
      </x:c>
      <x:c r="BB142" s="133" t="str">
        <x:v>Yüksek</x:v>
      </x:c>
      <x:c r="BC142" s="133"/>
    </x:row>
    <x:row r="143" ht="30" customHeight="1">
      <x:c r="A143" s="100" t="n">
        <x:v>140</x:v>
      </x:c>
      <x:c r="B143" s="32" t="str">
        <x:v>SARIYAR HES</x:v>
      </x:c>
      <x:c r="C143" s="32" t="str">
        <x:v>Sakarya</x:v>
      </x:c>
      <x:c r="D143" s="32" t="str">
        <x:v>Sakarya</x:v>
      </x:c>
      <x:c r="E143" s="34" t="n">
        <x:v>12</x:v>
      </x:c>
      <x:c r="F143" s="32" t="str">
        <x:v>https://cbs1.tarimorman.gov.tr/server/rest/services/TATUS/FeatureServer/11/query?where=ID%3D12&amp;outFields=ID%2CHAVZA_ADI%2CALAN_KM2&amp;returnGeometry=true&amp;outSR=4326&amp;f=geojson</x:v>
      </x:c>
      <x:c r="G143" s="32" t="str">
        <x:v>SARIYAR</x:v>
      </x:c>
      <x:c r="H143" s="32" t="str">
        <x:v>ESKİŞEHİR</x:v>
      </x:c>
      <x:c r="I143" s="36" t="n">
        <x:v>40.052</x:v>
      </x:c>
      <x:c r="J143" s="36" t="n">
        <x:v>31.413</x:v>
      </x:c>
      <x:c r="K143" s="38" t="n">
        <x:v>472.7</x:v>
      </x:c>
      <x:c r="L143" s="38" t="n">
        <x:v>457.7</x:v>
      </x:c>
      <x:c r="M143" s="32" t="str">
        <x:v>GÖKÇEKAYA HES</x:v>
      </x:c>
      <x:c r="N143" s="38" t="n">
        <x:v>160</x:v>
      </x:c>
      <x:c r="O143" s="38" t="n">
        <x:v>240</x:v>
      </x:c>
      <x:c r="P143" s="38" t="n">
        <x:v>1411.35</x:v>
      </x:c>
      <x:c r="Q143" s="38" t="n">
        <x:v>591.84</x:v>
      </x:c>
      <x:c r="R143" s="38" t="n">
        <x:v>528.65</x:v>
      </x:c>
      <x:c r="S143" s="38" t="n">
        <x:v>99.07</x:v>
      </x:c>
      <x:c r="T143" s="40" t="n">
        <x:v>46278.81434027778</x:v>
      </x:c>
      <x:c r="U143" s="32" t="str">
        <x:v>exact</x:v>
      </x:c>
      <x:c r="V143" s="32" t="str">
        <x:v>B</x:v>
      </x:c>
      <x:c r="W143" s="32" t="str">
        <x:v>Yüklü Debi_ve_Kurulu_Guc-13092026.xlsx</x:v>
      </x:c>
      <x:c r="X143" s="32" t="str">
        <x:v>Yüklü Debi_ve_Kurulu_Guc-13092026.xlsx</x:v>
      </x:c>
      <x:c r="Y143" s="32" t="str">
        <x:v>hes_MERKEZI_LISTESI.xlsx — trafo merkezi koordinatı (yaklaşık)</x:v>
      </x:c>
      <x:c r="Z143" s="32" t="str">
        <x:v>GÖKÇEKAYA HES</x:v>
      </x:c>
      <x:c r="AA143" s="101" t="str">
        <x:v>Koordinat güvenilir açık kaynaktan doğrulanamadı; Santral/baraj kesin koordinatı doğrulanamadığı için eşleşen trafo merkezi koordinatı harita referansı olarak kullanıldı; kesin HES konumu değildir.</x:v>
      </x:c>
      <x:c r="AB143" s="133" t="str">
        <x:v>Trafo merkezi koordinatı ile tamamlandı</x:v>
      </x:c>
      <x:c r="AC143" s="133" t="str">
        <x:v>Trafo merkezi / elektrik bağlantı noktası (yaklaşık)</x:v>
      </x:c>
      <x:c r="AD143" s="133" t="n">
        <x:v>910</x:v>
      </x:c>
      <x:c r="AE143" s="133" t="str">
        <x:v>SARIYAR HES</x:v>
      </x:c>
      <x:c r="AF143" s="133" t="str">
        <x:v>Ankara</x:v>
      </x:c>
      <x:c r="AG143" s="134" t="n">
        <x:v>40.052</x:v>
      </x:c>
      <x:c r="AH143" s="134" t="n">
        <x:v>31.413</x:v>
      </x:c>
      <x:c r="AI143" s="133" t="str">
        <x:v>Tam ad eşleşmesi</x:v>
      </x:c>
      <x:c r="AJ143" s="133" t="str">
        <x:v>Yüksek</x:v>
      </x:c>
      <x:c r="AK143" s="135"/>
      <x:c r="AL143" s="133" t="str">
        <x:v>Point</x:v>
      </x:c>
      <x:c r="AM143" s="133" t="str">
        <x:v>{"type": "Point", "coordinates": [31.413, 40.052]}</x:v>
      </x:c>
      <x:c r="AN143" s="133" t="str">
        <x:v>Trafo merkezi / elektrik bağlantı noktası (yaklaşık)</x:v>
      </x:c>
      <x:c r="AO143" s="133"/>
      <x:c r="AP143" s="133"/>
      <x:c r="AQ143" s="134"/>
      <x:c r="AR143" s="134"/>
      <x:c r="AS143" s="133"/>
      <x:c r="AT143" s="133" t="str">
        <x:v>https://cbs1.tarimorman.gov.tr/server/rest/services/TATUS/FeatureServer/7/query?where=HAVZA_ID%3D12+AND+%28BarajAdi%3D%27SARIYAR%27%29&amp;outFields=OBJECTID%2CBarajAdi%2CHavzaAdi%2CHAVZA_ID%2CIl&amp;returnGeometry=true&amp;outSR=4326&amp;f=geojson</x:v>
      </x:c>
      <x:c r="AU143" s="133" t="str">
        <x:v>Sakarya</x:v>
      </x:c>
      <x:c r="AV143" s="133" t="str">
        <x:v>Polyline / LineString</x:v>
      </x:c>
      <x:c r="AW143" s="133" t="str">
        <x:v>https://cbs1.tarimorman.gov.tr/server/rest/services/TATUS/FeatureServer/8/query?where=HAVZA_ID%3D12&amp;geometry=31.413000%2C40.052000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3" s="133" t="str">
        <x:v>Havza ana akarsuyu ön-eşleme; TATUS spatial query ile doğrulanmalı</x:v>
      </x:c>
      <x:c r="AY143" s="133" t="str">
        <x:v>Polygon</x:v>
      </x:c>
      <x:c r="AZ143" s="133" t="str">
        <x:v>https://cbs1.tarimorman.gov.tr/server/rest/services/TATUS/FeatureServer/9/query?where=1%3D1&amp;geometry=31.413000%2C40.052000&amp;geometryType=esriGeometryPoint&amp;inSR=4326&amp;spatialRel=esriSpatialRelIntersects&amp;outFields=%2A&amp;returnGeometry=true&amp;outSR=4326&amp;resultRecordCount=5&amp;f=geojson</x:v>
      </x:c>
      <x:c r="BA143" s="133" t="str">
        <x:v>Santral popup: Su alanını göster</x:v>
      </x:c>
      <x:c r="BB143" s="133" t="str">
        <x:v>Orta-Düşük</x:v>
      </x:c>
      <x:c r="BC143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44" ht="30" customHeight="1">
      <x:c r="A144" s="100" t="n">
        <x:v>141</x:v>
      </x:c>
      <x:c r="B144" s="32" t="str">
        <x:v>SEFAKÖY HES</x:v>
      </x:c>
      <x:c r="C144" s="32" t="str">
        <x:v>Aras</x:v>
      </x:c>
      <x:c r="D144" s="32" t="str">
        <x:v>Aras</x:v>
      </x:c>
      <x:c r="E144" s="34" t="n">
        <x:v>24</x:v>
      </x:c>
      <x:c r="F144" s="32" t="str">
        <x:v>https://cbs1.tarimorman.gov.tr/server/rest/services/TATUS/FeatureServer/11/query?where=ID%3D24&amp;outFields=ID%2CHAVZA_ADI%2CALAN_KM2&amp;returnGeometry=true&amp;outSR=4326&amp;f=geojson</x:v>
      </x:c>
      <x:c r="G144" s="32" t="str">
        <x:v>SEFAKÖY</x:v>
      </x:c>
      <x:c r="H144" s="32" t="str">
        <x:v>KARS</x:v>
      </x:c>
      <x:c r="I144" s="36"/>
      <x:c r="J144" s="36"/>
      <x:c r="K144" s="38" t="n">
        <x:v>1098</x:v>
      </x:c>
      <x:c r="L144" s="38" t="n">
        <x:v>1092</x:v>
      </x:c>
      <x:c r="M144" s="32"/>
      <x:c r="N144" s="38" t="n">
        <x:v>33.11</x:v>
      </x:c>
      <x:c r="O144" s="38"/>
      <x:c r="P144" s="38"/>
      <x:c r="Q144" s="38"/>
      <x:c r="R144" s="38"/>
      <x:c r="S144" s="38"/>
      <x:c r="T144" s="40"/>
      <x:c r="U144" s="32" t="str">
        <x:v>eşleşme yok</x:v>
      </x:c>
      <x:c r="V144" s="32" t="str">
        <x:v>C</x:v>
      </x:c>
      <x:c r="W144" s="32" t="str">
        <x:v>https://www.enerjiatlasi.com/hidroelektrik/?v=1.0.24</x:v>
      </x:c>
      <x:c r="X144" s="32" t="str">
        <x:v>https://openinframap.org/stats/area/Turkey/plants?source=hydro</x:v>
      </x:c>
      <x:c r="Y144" s="32"/>
      <x:c r="Z144" s="32" t="str">
        <x:v>10</x:v>
      </x:c>
      <x:c r="AA14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144" s="133" t="str">
        <x:v>Koordinat eksik</x:v>
      </x:c>
      <x:c r="AC144" s="133" t="str">
        <x:v>—</x:v>
      </x:c>
      <x:c r="AD144" s="133"/>
      <x:c r="AE144" s="133"/>
      <x:c r="AF144" s="133"/>
      <x:c r="AG144" s="134"/>
      <x:c r="AH144" s="134"/>
      <x:c r="AI144" s="133"/>
      <x:c r="AJ144" s="133"/>
      <x:c r="AK144" s="135"/>
      <x:c r="AL144" s="133" t="str">
        <x:v>Point</x:v>
      </x:c>
      <x:c r="AM144" s="133"/>
      <x:c r="AN144" s="133" t="str">
        <x:v>Koordinat yok</x:v>
      </x:c>
      <x:c r="AO144" s="133"/>
      <x:c r="AP144" s="133"/>
      <x:c r="AQ144" s="134"/>
      <x:c r="AR144" s="134"/>
      <x:c r="AS144" s="133"/>
      <x:c r="AT144" s="133" t="str">
        <x:v>https://cbs1.tarimorman.gov.tr/server/rest/services/TATUS/FeatureServer/7/query?where=HAVZA_ID%3D24+AND+%28BarajAdi%3D%27SEFAK%C3%96Y%27%29&amp;outFields=OBJECTID%2CBarajAdi%2CHavzaAdi%2CHAVZA_ID%2CIl&amp;returnGeometry=true&amp;outSR=4326&amp;f=geojson</x:v>
      </x:c>
      <x:c r="AU144" s="133" t="str">
        <x:v>Aras</x:v>
      </x:c>
      <x:c r="AV144" s="133" t="str">
        <x:v>Polyline / LineString</x:v>
      </x:c>
      <x:c r="AW144" s="133"/>
      <x:c r="AX144" s="133" t="str">
        <x:v>Havza ana akarsuyu ön-eşleme; TATUS spatial query ile doğrulanmalı</x:v>
      </x:c>
      <x:c r="AY144" s="133" t="str">
        <x:v>Polygon</x:v>
      </x:c>
      <x:c r="AZ144" s="133"/>
      <x:c r="BA144" s="133" t="str">
        <x:v>Santral popup: Su alanını göster</x:v>
      </x:c>
      <x:c r="BB144" s="133" t="str">
        <x:v>Yok</x:v>
      </x:c>
      <x:c r="BC144" s="133" t="str">
        <x:v>TATUS baraj point doğrudan eşleşmesi bu çalışma kitabında çözülmedi; sorgu URL'si eklendi; Koordinat eksik olduğu için akarsu ve su toplama alanı spatial sorgusu üretilemedi</x:v>
      </x:c>
    </x:row>
    <x:row r="145" ht="30" customHeight="1">
      <x:c r="A145" s="100" t="n">
        <x:v>142</x:v>
      </x:c>
      <x:c r="B145" s="32" t="str">
        <x:v>SEYHAN 1 HES</x:v>
      </x:c>
      <x:c r="C145" s="32" t="str">
        <x:v>Seyhan</x:v>
      </x:c>
      <x:c r="D145" s="32" t="str">
        <x:v>Seyhan</x:v>
      </x:c>
      <x:c r="E145" s="34" t="n">
        <x:v>18</x:v>
      </x:c>
      <x:c r="F145" s="32" t="str">
        <x:v>https://cbs1.tarimorman.gov.tr/server/rest/services/TATUS/FeatureServer/11/query?where=ID%3D18&amp;outFields=ID%2CHAVZA_ADI%2CALAN_KM2&amp;returnGeometry=true&amp;outSR=4326&amp;f=geojson</x:v>
      </x:c>
      <x:c r="G145" s="32" t="str">
        <x:v>SEYHAN-I</x:v>
      </x:c>
      <x:c r="H145" s="32" t="str">
        <x:v>ADANA</x:v>
      </x:c>
      <x:c r="I145" s="36" t="n">
        <x:v>37.03695</x:v>
      </x:c>
      <x:c r="J145" s="36" t="n">
        <x:v>35.34139</x:v>
      </x:c>
      <x:c r="K145" s="38" t="n">
        <x:v>67.5</x:v>
      </x:c>
      <x:c r="L145" s="38" t="n">
        <x:v>49</x:v>
      </x:c>
      <x:c r="M145" s="32" t="str">
        <x:v>SEYHAN 2 HES</x:v>
      </x:c>
      <x:c r="N145" s="38" t="n">
        <x:v>54</x:v>
      </x:c>
      <x:c r="O145" s="38" t="n">
        <x:v>231</x:v>
      </x:c>
      <x:c r="P145" s="38" t="n">
        <x:v>835.35</x:v>
      </x:c>
      <x:c r="Q145" s="38" t="n">
        <x:v>160.7</x:v>
      </x:c>
      <x:c r="R145" s="38"/>
      <x:c r="S145" s="38"/>
      <x:c r="T145" s="40" t="n">
        <x:v>46278.81434027778</x:v>
      </x:c>
      <x:c r="U145" s="32" t="str">
        <x:v>alias</x:v>
      </x:c>
      <x:c r="V145" s="32" t="str">
        <x:v>A</x:v>
      </x:c>
      <x:c r="W145" s="32" t="str">
        <x:v>Yüklü Debi_ve_Kurulu_Guc-13092026.xlsx</x:v>
      </x:c>
      <x:c r="X145" s="32" t="str">
        <x:v>Yüklü Debi_ve_Kurulu_Guc-13092026.xlsx</x:v>
      </x:c>
      <x:c r="Y145" s="32" t="str">
        <x:v>https://cbs1.tarimorman.gov.tr/server/rest/services/TATUS/FeatureServer/7</x:v>
      </x:c>
      <x:c r="Z145" s="32" t="str">
        <x:v>SEYHAN 2 HES</x:v>
      </x:c>
      <x:c r="AA145" s="101" t="str">
        <x:v>Baraj adı eşleşmesi: SEYHAN-I</x:v>
      </x:c>
      <x:c r="AB145" s="133" t="str">
        <x:v>Doğrulanmış koordinat mevcut</x:v>
      </x:c>
      <x:c r="AC145" s="133" t="str">
        <x:v>HES / baraj noktası</x:v>
      </x:c>
      <x:c r="AD145" s="133"/>
      <x:c r="AE145" s="133"/>
      <x:c r="AF145" s="133"/>
      <x:c r="AG145" s="134"/>
      <x:c r="AH145" s="134"/>
      <x:c r="AI145" s="133"/>
      <x:c r="AJ145" s="133"/>
      <x:c r="AK145" s="135"/>
      <x:c r="AL145" s="133" t="str">
        <x:v>Point</x:v>
      </x:c>
      <x:c r="AM145" s="133" t="str">
        <x:v>{"type": "Point", "coordinates": [35.34139, 37.03695]}</x:v>
      </x:c>
      <x:c r="AN145" s="133" t="str">
        <x:v>TATUS Baraj Gözlem Point</x:v>
      </x:c>
      <x:c r="AO145" s="133" t="str">
        <x:v>SEYHAN-I</x:v>
      </x:c>
      <x:c r="AP145" s="133" t="n">
        <x:v>1</x:v>
      </x:c>
      <x:c r="AQ145" s="134" t="n">
        <x:v>37.03695</x:v>
      </x:c>
      <x:c r="AR145" s="134" t="n">
        <x:v>35.34139</x:v>
      </x:c>
      <x:c r="AS145" s="133" t="str">
        <x:v>{"type": "Point", "coordinates": [35.34139, 37.03695]}</x:v>
      </x:c>
      <x:c r="AT145" s="133" t="str">
        <x:v>https://cbs1.tarimorman.gov.tr/server/rest/services/TATUS/FeatureServer/7/query?where=HAVZA_ID%3D18+AND+%28BarajAdi%3D%27SEYHAN-I%27+OR+BarajAdi%3D%27SEYHAN+1%27%29&amp;outFields=OBJECTID%2CBarajAdi%2CHavzaAdi%2CHAVZA_ID%2CIl&amp;returnGeometry=true&amp;outSR=4326&amp;f=geojson</x:v>
      </x:c>
      <x:c r="AU145" s="133" t="str">
        <x:v>Seyhan</x:v>
      </x:c>
      <x:c r="AV145" s="133" t="str">
        <x:v>Polyline / LineString</x:v>
      </x:c>
      <x:c r="AW145" s="133" t="str">
        <x:v>https://cbs1.tarimorman.gov.tr/server/rest/services/TATUS/FeatureServer/8/query?where=HAVZA_ID%3D18&amp;geometry=35.341390%2C37.036950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5" s="133" t="str">
        <x:v>Havza ana akarsuyu ön-eşleme; TATUS spatial query ile doğrulanmalı</x:v>
      </x:c>
      <x:c r="AY145" s="133" t="str">
        <x:v>Polygon</x:v>
      </x:c>
      <x:c r="AZ145" s="133" t="str">
        <x:v>https://cbs1.tarimorman.gov.tr/server/rest/services/TATUS/FeatureServer/9/query?where=1%3D1&amp;geometry=35.341390%2C37.036950&amp;geometryType=esriGeometryPoint&amp;inSR=4326&amp;spatialRel=esriSpatialRelIntersects&amp;outFields=%2A&amp;returnGeometry=true&amp;outSR=4326&amp;resultRecordCount=5&amp;f=geojson</x:v>
      </x:c>
      <x:c r="BA145" s="133" t="str">
        <x:v>Santral popup: Su alanını göster</x:v>
      </x:c>
      <x:c r="BB145" s="133" t="str">
        <x:v>Yüksek</x:v>
      </x:c>
      <x:c r="BC145" s="133"/>
    </x:row>
    <x:row r="146" ht="30" customHeight="1">
      <x:c r="A146" s="100" t="n">
        <x:v>143</x:v>
      </x:c>
      <x:c r="B146" s="32" t="str">
        <x:v>SEYRANTEPE HES</x:v>
      </x:c>
      <x:c r="C146" s="32" t="str">
        <x:v>Fırat Dicle</x:v>
      </x:c>
      <x:c r="D146" s="32" t="str">
        <x:v>Fırat-Dicle</x:v>
      </x:c>
      <x:c r="E146" s="34" t="n">
        <x:v>21</x:v>
      </x:c>
      <x:c r="F146" s="32" t="str">
        <x:v>https://cbs1.tarimorman.gov.tr/server/rest/services/TATUS/FeatureServer/11/query?where=ID%3D21&amp;outFields=ID%2CHAVZA_ADI%2CALAN_KM2&amp;returnGeometry=true&amp;outSR=4326&amp;f=geojson</x:v>
      </x:c>
      <x:c r="G146" s="32" t="str">
        <x:v>SEYRANTEPE</x:v>
      </x:c>
      <x:c r="H146" s="32" t="str">
        <x:v>ELAZIĞ</x:v>
      </x:c>
      <x:c r="I146" s="36" t="n">
        <x:v>39.02</x:v>
      </x:c>
      <x:c r="J146" s="36" t="n">
        <x:v>39.893</x:v>
      </x:c>
      <x:c r="K146" s="38" t="n">
        <x:v>956.3</x:v>
      </x:c>
      <x:c r="L146" s="38" t="n">
        <x:v>953.5</x:v>
      </x:c>
      <x:c r="M146" s="32" t="str">
        <x:v>TATAR HES</x:v>
      </x:c>
      <x:c r="N146" s="38" t="n">
        <x:v>57</x:v>
      </x:c>
      <x:c r="O146" s="38"/>
      <x:c r="P146" s="38"/>
      <x:c r="Q146" s="38"/>
      <x:c r="R146" s="38"/>
      <x:c r="S146" s="38"/>
      <x:c r="T146" s="40"/>
      <x:c r="U146" s="32" t="str">
        <x:v>eşleşme yok</x:v>
      </x:c>
      <x:c r="V146" s="32" t="str">
        <x:v>C</x:v>
      </x:c>
      <x:c r="W146" s="32" t="str">
        <x:v>https://www.enerjiatlasi.com/hidroelektrik/?v=1.0.24</x:v>
      </x:c>
      <x:c r="X146" s="32" t="str">
        <x:v>https://openinframap.org/stats/area/Turkey/plants?source=hydro</x:v>
      </x:c>
      <x:c r="Y146" s="32" t="str">
        <x:v>hes_MERKEZI_LISTESI.xlsx — trafo merkezi koordinatı (yaklaşık)</x:v>
      </x:c>
      <x:c r="Z146" s="32" t="str">
        <x:v>TATAR HES</x:v>
      </x:c>
      <x:c r="AA146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46" s="133" t="str">
        <x:v>Trafo merkezi koordinatı ile tamamlandı</x:v>
      </x:c>
      <x:c r="AC146" s="133" t="str">
        <x:v>Trafo merkezi / elektrik bağlantı noktası (yaklaşık)</x:v>
      </x:c>
      <x:c r="AD146" s="133" t="n">
        <x:v>539</x:v>
      </x:c>
      <x:c r="AE146" s="133" t="str">
        <x:v>SEYRANTEPE HES</x:v>
      </x:c>
      <x:c r="AF146" s="133" t="str">
        <x:v>Elazığ</x:v>
      </x:c>
      <x:c r="AG146" s="134" t="n">
        <x:v>39.02</x:v>
      </x:c>
      <x:c r="AH146" s="134" t="n">
        <x:v>39.893</x:v>
      </x:c>
      <x:c r="AI146" s="133" t="str">
        <x:v>Tam ad eşleşmesi</x:v>
      </x:c>
      <x:c r="AJ146" s="133" t="str">
        <x:v>Yüksek</x:v>
      </x:c>
      <x:c r="AK146" s="135"/>
      <x:c r="AL146" s="133" t="str">
        <x:v>Point</x:v>
      </x:c>
      <x:c r="AM146" s="133" t="str">
        <x:v>{"type": "Point", "coordinates": [39.893, 39.02]}</x:v>
      </x:c>
      <x:c r="AN146" s="133" t="str">
        <x:v>Trafo merkezi / elektrik bağlantı noktası (yaklaşık)</x:v>
      </x:c>
      <x:c r="AO146" s="133"/>
      <x:c r="AP146" s="133"/>
      <x:c r="AQ146" s="134"/>
      <x:c r="AR146" s="134"/>
      <x:c r="AS146" s="133"/>
      <x:c r="AT146" s="133" t="str">
        <x:v>https://cbs1.tarimorman.gov.tr/server/rest/services/TATUS/FeatureServer/7/query?where=HAVZA_ID%3D21+AND+%28BarajAdi%3D%27SEYRANTEPE%27%29&amp;outFields=OBJECTID%2CBarajAdi%2CHavzaAdi%2CHAVZA_ID%2CIl&amp;returnGeometry=true&amp;outSR=4326&amp;f=geojson</x:v>
      </x:c>
      <x:c r="AU146" s="133"/>
      <x:c r="AV146" s="133" t="str">
        <x:v>Polyline / LineString</x:v>
      </x:c>
      <x:c r="AW146" s="133" t="str">
        <x:v>https://cbs1.tarimorman.gov.tr/server/rest/services/TATUS/FeatureServer/8/query?where=HAVZA_ID%3D21&amp;geometry=39.893000%2C39.020000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6" s="133" t="str">
        <x:v>TATUS spatial query hazır; en yakın/uygun LineString seçilmeli</x:v>
      </x:c>
      <x:c r="AY146" s="133" t="str">
        <x:v>Polygon</x:v>
      </x:c>
      <x:c r="AZ146" s="133" t="str">
        <x:v>https://cbs1.tarimorman.gov.tr/server/rest/services/TATUS/FeatureServer/9/query?where=1%3D1&amp;geometry=39.893000%2C39.020000&amp;geometryType=esriGeometryPoint&amp;inSR=4326&amp;spatialRel=esriSpatialRelIntersects&amp;outFields=%2A&amp;returnGeometry=true&amp;outSR=4326&amp;resultRecordCount=5&amp;f=geojson</x:v>
      </x:c>
      <x:c r="BA146" s="133" t="str">
        <x:v>Santral popup: Su alanını göster</x:v>
      </x:c>
      <x:c r="BB146" s="133" t="str">
        <x:v>Orta-Düşük</x:v>
      </x:c>
      <x:c r="BC146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47" ht="30" customHeight="1">
      <x:c r="A147" s="100" t="n">
        <x:v>144</x:v>
      </x:c>
      <x:c r="B147" s="32" t="str">
        <x:v>SIRAKONAKLAR HES</x:v>
      </x:c>
      <x:c r="C147" s="32" t="str">
        <x:v>Çoruh</x:v>
      </x:c>
      <x:c r="D147" s="32" t="str">
        <x:v>Çoruh</x:v>
      </x:c>
      <x:c r="E147" s="34" t="n">
        <x:v>23</x:v>
      </x:c>
      <x:c r="F147" s="32" t="str">
        <x:v>https://cbs1.tarimorman.gov.tr/server/rest/services/TATUS/FeatureServer/11/query?where=ID%3D23&amp;outFields=ID%2CHAVZA_ADI%2CALAN_KM2&amp;returnGeometry=true&amp;outSR=4326&amp;f=geojson</x:v>
      </x:c>
      <x:c r="G147" s="32" t="str">
        <x:v>SIRAKONAKLAR</x:v>
      </x:c>
      <x:c r="H147" s="32" t="str">
        <x:v>ERZURUM</x:v>
      </x:c>
      <x:c r="I147" s="36"/>
      <x:c r="J147" s="36"/>
      <x:c r="K147" s="38" t="n">
        <x:v>1245</x:v>
      </x:c>
      <x:c r="L147" s="38" t="n">
        <x:v>1237</x:v>
      </x:c>
      <x:c r="M147" s="32" t="str">
        <x:v>ARKUN HES</x:v>
      </x:c>
      <x:c r="N147" s="38" t="n">
        <x:v>18</x:v>
      </x:c>
      <x:c r="O147" s="38"/>
      <x:c r="P147" s="38"/>
      <x:c r="Q147" s="38"/>
      <x:c r="R147" s="38"/>
      <x:c r="S147" s="38"/>
      <x:c r="T147" s="40"/>
      <x:c r="U147" s="32" t="str">
        <x:v>eşleşme yok</x:v>
      </x:c>
      <x:c r="V147" s="32" t="str">
        <x:v>C</x:v>
      </x:c>
      <x:c r="W147" s="32" t="str">
        <x:v>https://www.evrensel.net/haber/5986783/dicle-ve-firat-havzalari-cevre-tahribati-kusatmasinda-244-hes-ve-ges-faaliyette-yuzlercesi-proje-asamasinda</x:v>
      </x:c>
      <x:c r="X147" s="32" t="str">
        <x:v>https://www.evrensel.net/haber/5986783/dicle-ve-firat-havzalari-cevre-tahribati-kusatmasinda-244-hes-ve-ges-faaliyette-yuzlercesi-proje-asamasinda</x:v>
      </x:c>
      <x:c r="Y147" s="32"/>
      <x:c r="Z147" s="32" t="str">
        <x:v>ARKUN HES</x:v>
      </x:c>
      <x:c r="AA147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  <x:c r="AB147" s="133" t="str">
        <x:v>Koordinat eksik</x:v>
      </x:c>
      <x:c r="AC147" s="133" t="str">
        <x:v>—</x:v>
      </x:c>
      <x:c r="AD147" s="133"/>
      <x:c r="AE147" s="133"/>
      <x:c r="AF147" s="133"/>
      <x:c r="AG147" s="134"/>
      <x:c r="AH147" s="134"/>
      <x:c r="AI147" s="133"/>
      <x:c r="AJ147" s="133"/>
      <x:c r="AK147" s="135"/>
      <x:c r="AL147" s="133" t="str">
        <x:v>Point</x:v>
      </x:c>
      <x:c r="AM147" s="133"/>
      <x:c r="AN147" s="133" t="str">
        <x:v>Koordinat yok</x:v>
      </x:c>
      <x:c r="AO147" s="133"/>
      <x:c r="AP147" s="133"/>
      <x:c r="AQ147" s="134"/>
      <x:c r="AR147" s="134"/>
      <x:c r="AS147" s="133"/>
      <x:c r="AT147" s="133" t="str">
        <x:v>https://cbs1.tarimorman.gov.tr/server/rest/services/TATUS/FeatureServer/7/query?where=HAVZA_ID%3D23+AND+%28BarajAdi%3D%27SIRAKONAKLAR%27%29&amp;outFields=OBJECTID%2CBarajAdi%2CHavzaAdi%2CHAVZA_ID%2CIl&amp;returnGeometry=true&amp;outSR=4326&amp;f=geojson</x:v>
      </x:c>
      <x:c r="AU147" s="133" t="str">
        <x:v>Çoruh</x:v>
      </x:c>
      <x:c r="AV147" s="133" t="str">
        <x:v>Polyline / LineString</x:v>
      </x:c>
      <x:c r="AW147" s="133"/>
      <x:c r="AX147" s="133" t="str">
        <x:v>Havza ana akarsuyu ön-eşleme; TATUS spatial query ile doğrulanmalı</x:v>
      </x:c>
      <x:c r="AY147" s="133" t="str">
        <x:v>Polygon</x:v>
      </x:c>
      <x:c r="AZ147" s="133"/>
      <x:c r="BA147" s="133" t="str">
        <x:v>Santral popup: Su alanını göster</x:v>
      </x:c>
      <x:c r="BB147" s="133" t="str">
        <x:v>Yok</x:v>
      </x:c>
      <x:c r="BC147" s="133" t="str">
        <x:v>TATUS baraj point doğrudan eşleşmesi bu çalışma kitabında çözülmedi; sorgu URL'si eklendi; Koordinat eksik olduğu için akarsu ve su toplama alanı spatial sorgusu üretilemedi</x:v>
      </x:c>
    </x:row>
    <x:row r="148" ht="30" customHeight="1">
      <x:c r="A148" s="100" t="n">
        <x:v>145</x:v>
      </x:c>
      <x:c r="B148" s="32" t="str">
        <x:v>SIR HES</x:v>
      </x:c>
      <x:c r="C148" s="32" t="str">
        <x:v>Ceyhan</x:v>
      </x:c>
      <x:c r="D148" s="32" t="str">
        <x:v>Ceyhan</x:v>
      </x:c>
      <x:c r="E148" s="34" t="n">
        <x:v>20</x:v>
      </x:c>
      <x:c r="F148" s="32" t="str">
        <x:v>https://cbs1.tarimorman.gov.tr/server/rest/services/TATUS/FeatureServer/11/query?where=ID%3D20&amp;outFields=ID%2CHAVZA_ADI%2CALAN_KM2&amp;returnGeometry=true&amp;outSR=4326&amp;f=geojson</x:v>
      </x:c>
      <x:c r="G148" s="32" t="str">
        <x:v>SIR</x:v>
      </x:c>
      <x:c r="H148" s="32" t="str">
        <x:v>KAHRAMANMARAŞ</x:v>
      </x:c>
      <x:c r="I148" s="36" t="n">
        <x:v>37.501</x:v>
      </x:c>
      <x:c r="J148" s="36" t="n">
        <x:v>36.5968</x:v>
      </x:c>
      <x:c r="K148" s="38" t="n">
        <x:v>441</x:v>
      </x:c>
      <x:c r="L148" s="38" t="n">
        <x:v>417.5</x:v>
      </x:c>
      <x:c r="M148" s="32"/>
      <x:c r="N148" s="38" t="n">
        <x:v>283.5</x:v>
      </x:c>
      <x:c r="O148" s="38" t="n">
        <x:v>342.8</x:v>
      </x:c>
      <x:c r="P148" s="38" t="n">
        <x:v>1172.4</x:v>
      </x:c>
      <x:c r="Q148" s="38" t="n">
        <x:v>424.5</x:v>
      </x:c>
      <x:c r="R148" s="38" t="n">
        <x:v>510.79</x:v>
      </x:c>
      <x:c r="S148" s="38" t="n">
        <x:v>123.08</x:v>
      </x:c>
      <x:c r="T148" s="40" t="n">
        <x:v>46278.81434027778</x:v>
      </x:c>
      <x:c r="U148" s="32" t="str">
        <x:v>exact</x:v>
      </x:c>
      <x:c r="V148" s="32" t="str">
        <x:v>A</x:v>
      </x:c>
      <x:c r="W148" s="32" t="str">
        <x:v>Yüklü Debi_ve_Kurulu_Guc-13092026.xlsx</x:v>
      </x:c>
      <x:c r="X148" s="32" t="str">
        <x:v>Yüklü Debi_ve_Kurulu_Guc-13092026.xlsx</x:v>
      </x:c>
      <x:c r="Y148" s="32" t="str">
        <x:v>https://cbs1.tarimorman.gov.tr/server/rest/services/TATUS/FeatureServer/7</x:v>
      </x:c>
      <x:c r="Z148" s="32" t="str">
        <x:v>10</x:v>
      </x:c>
      <x:c r="AA148" s="101" t="str">
        <x:v>Kaskat alanında kaynak değeri '10' (belirsiz/sentinel)</x:v>
      </x:c>
      <x:c r="AB148" s="133" t="str">
        <x:v>Doğrulanmış koordinat mevcut</x:v>
      </x:c>
      <x:c r="AC148" s="133" t="str">
        <x:v>HES / baraj noktası</x:v>
      </x:c>
      <x:c r="AD148" s="133" t="n">
        <x:v>233</x:v>
      </x:c>
      <x:c r="AE148" s="133" t="str">
        <x:v>SIR HES</x:v>
      </x:c>
      <x:c r="AF148" s="133" t="str">
        <x:v>Kahramanmaraş</x:v>
      </x:c>
      <x:c r="AG148" s="134" t="n">
        <x:v>37.501</x:v>
      </x:c>
      <x:c r="AH148" s="134" t="n">
        <x:v>36.598</x:v>
      </x:c>
      <x:c r="AI148" s="133" t="str">
        <x:v>Tam ad eşleşmesi</x:v>
      </x:c>
      <x:c r="AJ148" s="133" t="str">
        <x:v>Yüksek</x:v>
      </x:c>
      <x:c r="AK148" s="135" t="n">
        <x:v>0.106</x:v>
      </x:c>
      <x:c r="AL148" s="133" t="str">
        <x:v>Point</x:v>
      </x:c>
      <x:c r="AM148" s="133" t="str">
        <x:v>{"type": "Point", "coordinates": [36.5968, 37.501]}</x:v>
      </x:c>
      <x:c r="AN148" s="133" t="str">
        <x:v>TATUS Baraj Gözlem Point</x:v>
      </x:c>
      <x:c r="AO148" s="133" t="str">
        <x:v>SIR</x:v>
      </x:c>
      <x:c r="AP148" s="133" t="n">
        <x:v>1</x:v>
      </x:c>
      <x:c r="AQ148" s="134" t="n">
        <x:v>37.501</x:v>
      </x:c>
      <x:c r="AR148" s="134" t="n">
        <x:v>36.5968</x:v>
      </x:c>
      <x:c r="AS148" s="133" t="str">
        <x:v>{"type": "Point", "coordinates": [36.5968, 37.501]}</x:v>
      </x:c>
      <x:c r="AT148" s="133" t="str">
        <x:v>https://cbs1.tarimorman.gov.tr/server/rest/services/TATUS/FeatureServer/7/query?where=HAVZA_ID%3D20+AND+%28BarajAdi%3D%27SIR%27%29&amp;outFields=OBJECTID%2CBarajAdi%2CHavzaAdi%2CHAVZA_ID%2CIl&amp;returnGeometry=true&amp;outSR=4326&amp;f=geojson</x:v>
      </x:c>
      <x:c r="AU148" s="133" t="str">
        <x:v>Ceyhan</x:v>
      </x:c>
      <x:c r="AV148" s="133" t="str">
        <x:v>Polyline / LineString</x:v>
      </x:c>
      <x:c r="AW148" s="133" t="str">
        <x:v>https://cbs1.tarimorman.gov.tr/server/rest/services/TATUS/FeatureServer/8/query?where=HAVZA_ID%3D20&amp;geometry=36.596800%2C37.501000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48" s="133" t="str">
        <x:v>Havza ana akarsuyu ön-eşleme; TATUS spatial query ile doğrulanmalı</x:v>
      </x:c>
      <x:c r="AY148" s="133" t="str">
        <x:v>Polygon</x:v>
      </x:c>
      <x:c r="AZ148" s="133" t="str">
        <x:v>https://cbs1.tarimorman.gov.tr/server/rest/services/TATUS/FeatureServer/9/query?where=1%3D1&amp;geometry=36.596800%2C37.501000&amp;geometryType=esriGeometryPoint&amp;inSR=4326&amp;spatialRel=esriSpatialRelIntersects&amp;outFields=%2A&amp;returnGeometry=true&amp;outSR=4326&amp;resultRecordCount=5&amp;f=geojson</x:v>
      </x:c>
      <x:c r="BA148" s="133" t="str">
        <x:v>Santral popup: Su alanını göster</x:v>
      </x:c>
      <x:c r="BB148" s="133" t="str">
        <x:v>Yüksek</x:v>
      </x:c>
      <x:c r="BC148" s="133"/>
    </x:row>
    <x:row r="149" ht="30" customHeight="1">
      <x:c r="A149" s="100" t="n">
        <x:v>146</x:v>
      </x:c>
      <x:c r="B149" s="32" t="str">
        <x:v>SIRIMTAŞ HES</x:v>
      </x:c>
      <x:c r="C149" s="32" t="str">
        <x:v>Fırat Dicle</x:v>
      </x:c>
      <x:c r="D149" s="32" t="str">
        <x:v>Fırat-Dicle</x:v>
      </x:c>
      <x:c r="E149" s="34" t="n">
        <x:v>21</x:v>
      </x:c>
      <x:c r="F149" s="32" t="str">
        <x:v>https://cbs1.tarimorman.gov.tr/server/rest/services/TATUS/FeatureServer/11/query?where=ID%3D21&amp;outFields=ID%2CHAVZA_ADI%2CALAN_KM2&amp;returnGeometry=true&amp;outSR=4326&amp;f=geojson</x:v>
      </x:c>
      <x:c r="G149" s="32" t="str">
        <x:v>SIRIMTAŞ HES</x:v>
      </x:c>
      <x:c r="H149" s="32" t="str">
        <x:v>ADIYAMAN</x:v>
      </x:c>
      <x:c r="I149" s="36"/>
      <x:c r="J149" s="36"/>
      <x:c r="K149" s="38" t="n">
        <x:v>861</x:v>
      </x:c>
      <x:c r="L149" s="38" t="n">
        <x:v>854.5</x:v>
      </x:c>
      <x:c r="M149" s="32" t="str">
        <x:v>ATATÜRK HES</x:v>
      </x:c>
      <x:c r="N149" s="38" t="n">
        <x:v>26</x:v>
      </x:c>
      <x:c r="O149" s="38" t="n">
        <x:v>10</x:v>
      </x:c>
      <x:c r="P149" s="38" t="n">
        <x:v>35.22</x:v>
      </x:c>
      <x:c r="Q149" s="38" t="n">
        <x:v>27.47</x:v>
      </x:c>
      <x:c r="R149" s="38"/>
      <x:c r="S149" s="38"/>
      <x:c r="T149" s="40" t="n">
        <x:v>46278.81434027778</x:v>
      </x:c>
      <x:c r="U149" s="32" t="str">
        <x:v>exact</x:v>
      </x:c>
      <x:c r="V149" s="32" t="str">
        <x:v>B</x:v>
      </x:c>
      <x:c r="W149" s="32" t="str">
        <x:v>Yüklü Debi_ve_Kurulu_Guc-13092026.xlsx</x:v>
      </x:c>
      <x:c r="X149" s="32" t="str">
        <x:v>Yüklü Debi_ve_Kurulu_Guc-13092026.xlsx</x:v>
      </x:c>
      <x:c r="Y149" s="32"/>
      <x:c r="Z149" s="32" t="str">
        <x:v>ATATÜRK HES</x:v>
      </x:c>
      <x:c r="AA149" s="101" t="str">
        <x:v>Koordinat güvenilir açık kaynaktan doğrulanamadı</x:v>
      </x:c>
      <x:c r="AB149" s="133" t="str">
        <x:v>Koordinat eksik</x:v>
      </x:c>
      <x:c r="AC149" s="133" t="str">
        <x:v>—</x:v>
      </x:c>
      <x:c r="AD149" s="133"/>
      <x:c r="AE149" s="133"/>
      <x:c r="AF149" s="133"/>
      <x:c r="AG149" s="134"/>
      <x:c r="AH149" s="134"/>
      <x:c r="AI149" s="133"/>
      <x:c r="AJ149" s="133"/>
      <x:c r="AK149" s="135"/>
      <x:c r="AL149" s="133" t="str">
        <x:v>Point</x:v>
      </x:c>
      <x:c r="AM149" s="133"/>
      <x:c r="AN149" s="133" t="str">
        <x:v>Koordinat yok</x:v>
      </x:c>
      <x:c r="AO149" s="133"/>
      <x:c r="AP149" s="133"/>
      <x:c r="AQ149" s="134"/>
      <x:c r="AR149" s="134"/>
      <x:c r="AS149" s="133"/>
      <x:c r="AT149" s="133" t="str">
        <x:v>https://cbs1.tarimorman.gov.tr/server/rest/services/TATUS/FeatureServer/7/query?where=HAVZA_ID%3D21+AND+%28BarajAdi%3D%27SIRIMTA%C5%9E+HES%27+OR+BarajAdi%3D%27SIRIMTA%C5%9E%27%29&amp;outFields=OBJECTID%2CBarajAdi%2CHavzaAdi%2CHAVZA_ID%2CIl&amp;returnGeometry=true&amp;outSR=4326&amp;f=geojson</x:v>
      </x:c>
      <x:c r="AU149" s="133"/>
      <x:c r="AV149" s="133" t="str">
        <x:v>Polyline / LineString</x:v>
      </x:c>
      <x:c r="AW149" s="133"/>
      <x:c r="AX149" s="133" t="str">
        <x:v>Koordinat yok; spatial eşleme yapılamadı</x:v>
      </x:c>
      <x:c r="AY149" s="133" t="str">
        <x:v>Polygon</x:v>
      </x:c>
      <x:c r="AZ149" s="133"/>
      <x:c r="BA149" s="133" t="str">
        <x:v>Santral popup: Su alanını göster</x:v>
      </x:c>
      <x:c r="BB149" s="133" t="str">
        <x:v>Yok</x:v>
      </x:c>
      <x:c r="BC149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50" ht="30" customHeight="1">
      <x:c r="A150" s="100" t="n">
        <x:v>147</x:v>
      </x:c>
      <x:c r="B150" s="32" t="str">
        <x:v>SİLOPİ HES</x:v>
      </x:c>
      <x:c r="C150" s="32" t="str">
        <x:v>Fırat Dicle</x:v>
      </x:c>
      <x:c r="D150" s="32" t="str">
        <x:v>Fırat-Dicle</x:v>
      </x:c>
      <x:c r="E150" s="34" t="n">
        <x:v>21</x:v>
      </x:c>
      <x:c r="F150" s="32" t="str">
        <x:v>https://cbs1.tarimorman.gov.tr/server/rest/services/TATUS/FeatureServer/11/query?where=ID%3D21&amp;outFields=ID%2CHAVZA_ADI%2CALAN_KM2&amp;returnGeometry=true&amp;outSR=4326&amp;f=geojson</x:v>
      </x:c>
      <x:c r="G150" s="32" t="str">
        <x:v>SİLOPİ</x:v>
      </x:c>
      <x:c r="H150" s="32" t="str">
        <x:v>ŞIRNAK</x:v>
      </x:c>
      <x:c r="I150" s="36"/>
      <x:c r="J150" s="36"/>
      <x:c r="K150" s="38" t="n">
        <x:v>657.7</x:v>
      </x:c>
      <x:c r="L150" s="38" t="n">
        <x:v>631</x:v>
      </x:c>
      <x:c r="M150" s="32"/>
      <x:c r="N150" s="38" t="n">
        <x:v>2.376</x:v>
      </x:c>
      <x:c r="O150" s="38"/>
      <x:c r="P150" s="38"/>
      <x:c r="Q150" s="38"/>
      <x:c r="R150" s="38"/>
      <x:c r="S150" s="38"/>
      <x:c r="T150" s="40"/>
      <x:c r="U150" s="32" t="str">
        <x:v>eşleşme yok</x:v>
      </x:c>
      <x:c r="V150" s="32" t="str">
        <x:v>C</x:v>
      </x:c>
      <x:c r="W150" s="32" t="str">
        <x:v>https://webdosya.csb.gov.tr/db/ced/icerikler/sirnak_-cdr2023-20240705110218.pdf</x:v>
      </x:c>
      <x:c r="X150" s="32" t="str">
        <x:v>https://webdosya.csb.gov.tr/db/ced/icerikler/sirnak_-cdr2023-20240705110218.pdf</x:v>
      </x:c>
      <x:c r="Y150" s="32"/>
      <x:c r="Z150" s="32" t="str">
        <x:v>10</x:v>
      </x:c>
      <x:c r="AA15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Kurulu güç kamu kaynağıyla doğrulandı; Ünite debisi doğrulanamadı; Maksimum/minimum hacim doğrulanamadı</x:v>
      </x:c>
      <x:c r="AB150" s="133" t="str">
        <x:v>Koordinat eksik</x:v>
      </x:c>
      <x:c r="AC150" s="133" t="str">
        <x:v>—</x:v>
      </x:c>
      <x:c r="AD150" s="133"/>
      <x:c r="AE150" s="133"/>
      <x:c r="AF150" s="133"/>
      <x:c r="AG150" s="134"/>
      <x:c r="AH150" s="134"/>
      <x:c r="AI150" s="133"/>
      <x:c r="AJ150" s="133"/>
      <x:c r="AK150" s="135"/>
      <x:c r="AL150" s="133" t="str">
        <x:v>Point</x:v>
      </x:c>
      <x:c r="AM150" s="133"/>
      <x:c r="AN150" s="133" t="str">
        <x:v>Koordinat yok</x:v>
      </x:c>
      <x:c r="AO150" s="133"/>
      <x:c r="AP150" s="133"/>
      <x:c r="AQ150" s="134"/>
      <x:c r="AR150" s="134"/>
      <x:c r="AS150" s="133"/>
      <x:c r="AT150" s="133" t="str">
        <x:v>https://cbs1.tarimorman.gov.tr/server/rest/services/TATUS/FeatureServer/7/query?where=HAVZA_ID%3D21+AND+%28BarajAdi%3D%27S%C4%B0LOP%C4%B0%27%29&amp;outFields=OBJECTID%2CBarajAdi%2CHavzaAdi%2CHAVZA_ID%2CIl&amp;returnGeometry=true&amp;outSR=4326&amp;f=geojson</x:v>
      </x:c>
      <x:c r="AU150" s="133"/>
      <x:c r="AV150" s="133" t="str">
        <x:v>Polyline / LineString</x:v>
      </x:c>
      <x:c r="AW150" s="133"/>
      <x:c r="AX150" s="133" t="str">
        <x:v>Koordinat yok; spatial eşleme yapılamadı</x:v>
      </x:c>
      <x:c r="AY150" s="133" t="str">
        <x:v>Polygon</x:v>
      </x:c>
      <x:c r="AZ150" s="133"/>
      <x:c r="BA150" s="133" t="str">
        <x:v>Santral popup: Su alanını göster</x:v>
      </x:c>
      <x:c r="BB150" s="133" t="str">
        <x:v>Yok</x:v>
      </x:c>
      <x:c r="BC150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51" ht="30" customHeight="1">
      <x:c r="A151" s="100" t="n">
        <x:v>148</x:v>
      </x:c>
      <x:c r="B151" s="32" t="str">
        <x:v>SUAT UĞURLU HES</x:v>
      </x:c>
      <x:c r="C151" s="32" t="str">
        <x:v>Yeşilırmak</x:v>
      </x:c>
      <x:c r="D151" s="32" t="str">
        <x:v>Yeşilırmak</x:v>
      </x:c>
      <x:c r="E151" s="34" t="n">
        <x:v>14</x:v>
      </x:c>
      <x:c r="F151" s="32" t="str">
        <x:v>https://cbs1.tarimorman.gov.tr/server/rest/services/TATUS/FeatureServer/11/query?where=ID%3D14&amp;outFields=ID%2CHAVZA_ADI%2CALAN_KM2&amp;returnGeometry=true&amp;outSR=4326&amp;f=geojson</x:v>
      </x:c>
      <x:c r="G151" s="32" t="str">
        <x:v>S.UĞURLU</x:v>
      </x:c>
      <x:c r="H151" s="32" t="str">
        <x:v>SAMSUN</x:v>
      </x:c>
      <x:c r="I151" s="36" t="n">
        <x:v>41.07479</x:v>
      </x:c>
      <x:c r="J151" s="36" t="n">
        <x:v>36.67091</x:v>
      </x:c>
      <x:c r="K151" s="38" t="n">
        <x:v>61.5</x:v>
      </x:c>
      <x:c r="L151" s="38" t="n">
        <x:v>58.5</x:v>
      </x:c>
      <x:c r="M151" s="32"/>
      <x:c r="N151" s="38" t="n">
        <x:v>69</x:v>
      </x:c>
      <x:c r="O151" s="38" t="n">
        <x:v>239.7</x:v>
      </x:c>
      <x:c r="P151" s="38" t="n">
        <x:v>139.6</x:v>
      </x:c>
      <x:c r="Q151" s="38" t="n">
        <x:v>113.57</x:v>
      </x:c>
      <x:c r="R151" s="38" t="n">
        <x:v>16.19</x:v>
      </x:c>
      <x:c r="S151" s="38" t="n">
        <x:v>1.18</x:v>
      </x:c>
      <x:c r="T151" s="40" t="n">
        <x:v>46278.81434027778</x:v>
      </x:c>
      <x:c r="U151" s="32" t="str">
        <x:v>alias</x:v>
      </x:c>
      <x:c r="V151" s="32" t="str">
        <x:v>A</x:v>
      </x:c>
      <x:c r="W151" s="32" t="str">
        <x:v>Yüklü Debi_ve_Kurulu_Guc-13092026.xlsx</x:v>
      </x:c>
      <x:c r="X151" s="32" t="str">
        <x:v>Yüklü Debi_ve_Kurulu_Guc-13092026.xlsx</x:v>
      </x:c>
      <x:c r="Y151" s="32" t="str">
        <x:v>https://cbs1.tarimorman.gov.tr/server/rest/services/TATUS/FeatureServer/7</x:v>
      </x:c>
      <x:c r="Z151" s="32" t="str">
        <x:v>10</x:v>
      </x:c>
      <x:c r="AA151" s="101" t="str">
        <x:v>Baraj adı eşleşmesi: S.UĞURLU; Kaskat alanında kaynak değeri '10' (belirsiz/sentinel)</x:v>
      </x:c>
      <x:c r="AB151" s="133" t="str">
        <x:v>Doğrulanmış koordinat mevcut</x:v>
      </x:c>
      <x:c r="AC151" s="133" t="str">
        <x:v>HES / baraj noktası</x:v>
      </x:c>
      <x:c r="AD151" s="133" t="n">
        <x:v>791</x:v>
      </x:c>
      <x:c r="AE151" s="133" t="str">
        <x:v>SUAT UĞURLU HES</x:v>
      </x:c>
      <x:c r="AF151" s="133" t="str">
        <x:v>Samsun</x:v>
      </x:c>
      <x:c r="AG151" s="134" t="n">
        <x:v>41.077</x:v>
      </x:c>
      <x:c r="AH151" s="134" t="n">
        <x:v>36.676</x:v>
      </x:c>
      <x:c r="AI151" s="133" t="str">
        <x:v>Tam ad eşleşmesi</x:v>
      </x:c>
      <x:c r="AJ151" s="133" t="str">
        <x:v>Yüksek</x:v>
      </x:c>
      <x:c r="AK151" s="135" t="n">
        <x:v>0.492</x:v>
      </x:c>
      <x:c r="AL151" s="133" t="str">
        <x:v>Point</x:v>
      </x:c>
      <x:c r="AM151" s="133" t="str">
        <x:v>{"type": "Point", "coordinates": [36.67091, 41.07479]}</x:v>
      </x:c>
      <x:c r="AN151" s="133" t="str">
        <x:v>TATUS Baraj Gözlem Point</x:v>
      </x:c>
      <x:c r="AO151" s="133" t="str">
        <x:v>S.UĞURLU</x:v>
      </x:c>
      <x:c r="AP151" s="133" t="n">
        <x:v>1</x:v>
      </x:c>
      <x:c r="AQ151" s="134" t="n">
        <x:v>41.07479</x:v>
      </x:c>
      <x:c r="AR151" s="134" t="n">
        <x:v>36.67091</x:v>
      </x:c>
      <x:c r="AS151" s="133" t="str">
        <x:v>{"type": "Point", "coordinates": [36.67091, 41.07479]}</x:v>
      </x:c>
      <x:c r="AT151" s="133" t="str">
        <x:v>https://cbs1.tarimorman.gov.tr/server/rest/services/TATUS/FeatureServer/7/query?where=HAVZA_ID%3D14+AND+%28BarajAdi%3D%27S.U%C4%9EURLU%27+OR+BarajAdi%3D%27SUAT+U%C4%9EURLU%27%29&amp;outFields=OBJECTID%2CBarajAdi%2CHavzaAdi%2CHAVZA_ID%2CIl&amp;returnGeometry=true&amp;outSR=4326&amp;f=geojson</x:v>
      </x:c>
      <x:c r="AU151" s="133" t="str">
        <x:v>Yeşilırmak</x:v>
      </x:c>
      <x:c r="AV151" s="133" t="str">
        <x:v>Polyline / LineString</x:v>
      </x:c>
      <x:c r="AW151" s="133" t="str">
        <x:v>https://cbs1.tarimorman.gov.tr/server/rest/services/TATUS/FeatureServer/8/query?where=HAVZA_ID%3D14&amp;geometry=36.670910%2C41.074790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51" s="133" t="str">
        <x:v>Havza ana akarsuyu ön-eşleme; TATUS spatial query ile doğrulanmalı</x:v>
      </x:c>
      <x:c r="AY151" s="133" t="str">
        <x:v>Polygon</x:v>
      </x:c>
      <x:c r="AZ151" s="133" t="str">
        <x:v>https://cbs1.tarimorman.gov.tr/server/rest/services/TATUS/FeatureServer/9/query?where=1%3D1&amp;geometry=36.670910%2C41.074790&amp;geometryType=esriGeometryPoint&amp;inSR=4326&amp;spatialRel=esriSpatialRelIntersects&amp;outFields=%2A&amp;returnGeometry=true&amp;outSR=4326&amp;resultRecordCount=5&amp;f=geojson</x:v>
      </x:c>
      <x:c r="BA151" s="133" t="str">
        <x:v>Santral popup: Su alanını göster</x:v>
      </x:c>
      <x:c r="BB151" s="133" t="str">
        <x:v>Yüksek</x:v>
      </x:c>
      <x:c r="BC151" s="133"/>
    </x:row>
    <x:row r="152" ht="30" customHeight="1">
      <x:c r="A152" s="100" t="n">
        <x:v>149</x:v>
      </x:c>
      <x:c r="B152" s="32" t="str">
        <x:v>SUÇATI HES KAHRAMANMARAŞ</x:v>
      </x:c>
      <x:c r="C152" s="32" t="str">
        <x:v>Ceyhan</x:v>
      </x:c>
      <x:c r="D152" s="32" t="str">
        <x:v>Ceyhan</x:v>
      </x:c>
      <x:c r="E152" s="34" t="n">
        <x:v>20</x:v>
      </x:c>
      <x:c r="F152" s="32" t="str">
        <x:v>https://cbs1.tarimorman.gov.tr/server/rest/services/TATUS/FeatureServer/11/query?where=ID%3D20&amp;outFields=ID%2CHAVZA_ADI%2CALAN_KM2&amp;returnGeometry=true&amp;outSR=4326&amp;f=geojson</x:v>
      </x:c>
      <x:c r="G152" s="32" t="str">
        <x:v>SUÇATI</x:v>
      </x:c>
      <x:c r="H152" s="32" t="str">
        <x:v>KAHRAMANMARAŞ</x:v>
      </x:c>
      <x:c r="I152" s="36"/>
      <x:c r="J152" s="36"/>
      <x:c r="K152" s="38" t="n">
        <x:v>644.3</x:v>
      </x:c>
      <x:c r="L152" s="38" t="n">
        <x:v>639.5</x:v>
      </x:c>
      <x:c r="M152" s="32" t="str">
        <x:v>MENZELET HES</x:v>
      </x:c>
      <x:c r="N152" s="38" t="n">
        <x:v>7</x:v>
      </x:c>
      <x:c r="O152" s="38" t="n">
        <x:v>26.6</x:v>
      </x:c>
      <x:c r="P152" s="38" t="n">
        <x:v>8.74</x:v>
      </x:c>
      <x:c r="Q152" s="38" t="n">
        <x:v>5.71</x:v>
      </x:c>
      <x:c r="R152" s="38"/>
      <x:c r="S152" s="38"/>
      <x:c r="T152" s="40" t="n">
        <x:v>46278.81434027778</x:v>
      </x:c>
      <x:c r="U152" s="32" t="str">
        <x:v>alias</x:v>
      </x:c>
      <x:c r="V152" s="32" t="str">
        <x:v>B</x:v>
      </x:c>
      <x:c r="W152" s="32" t="str">
        <x:v>Yüklü Debi_ve_Kurulu_Guc-13092026.xlsx</x:v>
      </x:c>
      <x:c r="X152" s="32" t="str">
        <x:v>Yüklü Debi_ve_Kurulu_Guc-13092026.xlsx</x:v>
      </x:c>
      <x:c r="Y152" s="32"/>
      <x:c r="Z152" s="32" t="str">
        <x:v>MENZELET HES</x:v>
      </x:c>
      <x:c r="AA152" s="101" t="str">
        <x:v>Baraj adı eşleşmesi: SUÇATI; Koordinat güvenilir açık kaynaktan doğrulanamadı</x:v>
      </x:c>
      <x:c r="AB152" s="133" t="str">
        <x:v>Koordinat eksik</x:v>
      </x:c>
      <x:c r="AC152" s="133" t="str">
        <x:v>—</x:v>
      </x:c>
      <x:c r="AD152" s="133"/>
      <x:c r="AE152" s="133"/>
      <x:c r="AF152" s="133"/>
      <x:c r="AG152" s="134"/>
      <x:c r="AH152" s="134"/>
      <x:c r="AI152" s="133"/>
      <x:c r="AJ152" s="133"/>
      <x:c r="AK152" s="135"/>
      <x:c r="AL152" s="133" t="str">
        <x:v>Point</x:v>
      </x:c>
      <x:c r="AM152" s="133"/>
      <x:c r="AN152" s="133" t="str">
        <x:v>Koordinat yok</x:v>
      </x:c>
      <x:c r="AO152" s="133"/>
      <x:c r="AP152" s="133"/>
      <x:c r="AQ152" s="134"/>
      <x:c r="AR152" s="134"/>
      <x:c r="AS152" s="133"/>
      <x:c r="AT152" s="133" t="str">
        <x:v>https://cbs1.tarimorman.gov.tr/server/rest/services/TATUS/FeatureServer/7/query?where=HAVZA_ID%3D20+AND+%28BarajAdi%3D%27SU%C3%87ATI%27+OR+BarajAdi%3D%27SU%C3%87ATI+HES+KAHRAMANMARA%C5%9E%27%29&amp;outFields=OBJECTID%2CBarajAdi%2CHavzaAdi%2CHAVZA_ID%2CIl&amp;returnGeometry=true&amp;outSR=4326&amp;f=geojson</x:v>
      </x:c>
      <x:c r="AU152" s="133" t="str">
        <x:v>Ceyhan</x:v>
      </x:c>
      <x:c r="AV152" s="133" t="str">
        <x:v>Polyline / LineString</x:v>
      </x:c>
      <x:c r="AW152" s="133"/>
      <x:c r="AX152" s="133" t="str">
        <x:v>Havza ana akarsuyu ön-eşleme; TATUS spatial query ile doğrulanmalı</x:v>
      </x:c>
      <x:c r="AY152" s="133" t="str">
        <x:v>Polygon</x:v>
      </x:c>
      <x:c r="AZ152" s="133"/>
      <x:c r="BA152" s="133" t="str">
        <x:v>Santral popup: Su alanını göster</x:v>
      </x:c>
      <x:c r="BB152" s="133" t="str">
        <x:v>Yok</x:v>
      </x:c>
      <x:c r="BC152" s="133" t="str">
        <x:v>TATUS baraj point doğrudan eşleşmesi bu çalışma kitabında çözülmedi; sorgu URL'si eklendi; Koordinat eksik olduğu için akarsu ve su toplama alanı spatial sorgusu üretilemedi</x:v>
      </x:c>
    </x:row>
    <x:row r="153" ht="30" customHeight="1">
      <x:c r="A153" s="100" t="n">
        <x:v>150</x:v>
      </x:c>
      <x:c r="B153" s="32" t="str">
        <x:v>SUŞEHRİ HES</x:v>
      </x:c>
      <x:c r="C153" s="32" t="str">
        <x:v>Yeşilırmak</x:v>
      </x:c>
      <x:c r="D153" s="32" t="str">
        <x:v>Yeşilırmak</x:v>
      </x:c>
      <x:c r="E153" s="34" t="n">
        <x:v>14</x:v>
      </x:c>
      <x:c r="F153" s="32" t="str">
        <x:v>https://cbs1.tarimorman.gov.tr/server/rest/services/TATUS/FeatureServer/11/query?where=ID%3D14&amp;outFields=ID%2CHAVZA_ADI%2CALAN_KM2&amp;returnGeometry=true&amp;outSR=4326&amp;f=geojson</x:v>
      </x:c>
      <x:c r="G153" s="32" t="str">
        <x:v>GÖLOVA</x:v>
      </x:c>
      <x:c r="H153" s="32" t="str">
        <x:v>SİVAS</x:v>
      </x:c>
      <x:c r="I153" s="36" t="n">
        <x:v>40.04472</x:v>
      </x:c>
      <x:c r="J153" s="36" t="n">
        <x:v>38.62222</x:v>
      </x:c>
      <x:c r="K153" s="38" t="n">
        <x:v>1293</x:v>
      </x:c>
      <x:c r="L153" s="38" t="n">
        <x:v>1280</x:v>
      </x:c>
      <x:c r="M153" s="32"/>
      <x:c r="N153" s="38" t="n">
        <x:v>1.1</x:v>
      </x:c>
      <x:c r="O153" s="38" t="n">
        <x:v>6</x:v>
      </x:c>
      <x:c r="P153" s="38" t="n">
        <x:v>64.4</x:v>
      </x:c>
      <x:c r="Q153" s="38" t="n">
        <x:v>14.5</x:v>
      </x:c>
      <x:c r="R153" s="38" t="n">
        <x:v>32.11</x:v>
      </x:c>
      <x:c r="S153" s="38" t="n">
        <x:v>1.23</x:v>
      </x:c>
      <x:c r="T153" s="40" t="n">
        <x:v>46278.81434027778</x:v>
      </x:c>
      <x:c r="U153" s="32" t="str">
        <x:v>alias</x:v>
      </x:c>
      <x:c r="V153" s="32" t="str">
        <x:v>B</x:v>
      </x:c>
      <x:c r="W153" s="32" t="str">
        <x:v>Yüklü Debi_ve_Kurulu_Guc-13092026.xlsx</x:v>
      </x:c>
      <x:c r="X153" s="32" t="str">
        <x:v>Yüklü Debi_ve_Kurulu_Guc-13092026.xlsx</x:v>
      </x:c>
      <x:c r="Y153" s="32" t="str">
        <x:v>TATUS Baraj Gözlem İstasyonları (FeatureServer/7) fallback</x:v>
      </x:c>
      <x:c r="Z153" s="32" t="str">
        <x:v>10</x:v>
      </x:c>
      <x:c r="AA153" s="101" t="str">
        <x:v>Baraj adı eşleşmesi: GÖLOVA; Kaskat alanında kaynak değeri '10' (belirsiz/sentinel); Koordinat güvenilir açık kaynaktan doğrulanamadı; TATUS baraj noktası fallback: GÖLOVA (reservoir_exact); 1 nokta</x:v>
      </x:c>
      <x:c r="AB153" s="133" t="str">
        <x:v>TATUS baraj gözlem istasyonu ile tamamlandı</x:v>
      </x:c>
      <x:c r="AC153" s="133" t="str">
        <x:v>Baraj gözlem istasyonu (TATUS fallback)</x:v>
      </x:c>
      <x:c r="AD153" s="133"/>
      <x:c r="AE153" s="133"/>
      <x:c r="AF153" s="133"/>
      <x:c r="AG153" s="134"/>
      <x:c r="AH153" s="134"/>
      <x:c r="AI153" s="133"/>
      <x:c r="AJ153" s="133"/>
      <x:c r="AK153" s="135"/>
      <x:c r="AL153" s="133" t="str">
        <x:v>Point</x:v>
      </x:c>
      <x:c r="AM153" s="133" t="str">
        <x:v>{"type": "Point", "coordinates": [38.62222, 40.04472]}</x:v>
      </x:c>
      <x:c r="AN153" s="133" t="str">
        <x:v>TATUS Baraj Gözlem Point</x:v>
      </x:c>
      <x:c r="AO153" s="133" t="str">
        <x:v>GÖLOVA</x:v>
      </x:c>
      <x:c r="AP153" s="133" t="n">
        <x:v>1</x:v>
      </x:c>
      <x:c r="AQ153" s="134" t="n">
        <x:v>40.04472</x:v>
      </x:c>
      <x:c r="AR153" s="134" t="n">
        <x:v>38.62222</x:v>
      </x:c>
      <x:c r="AS153" s="133" t="str">
        <x:v>{"type": "Point", "coordinates": [38.62222, 40.04472]}</x:v>
      </x:c>
      <x:c r="AT153" s="133" t="str">
        <x:v>https://cbs1.tarimorman.gov.tr/server/rest/services/TATUS/FeatureServer/7/query?where=HAVZA_ID%3D14+AND+%28BarajAdi%3D%27G%C3%96LOVA%27+OR+BarajAdi%3D%27SU%C5%9EEHR%C4%B0%27%29&amp;outFields=OBJECTID%2CBarajAdi%2CHavzaAdi%2CHAVZA_ID%2CIl&amp;returnGeometry=true&amp;outSR=4326&amp;f=geojson</x:v>
      </x:c>
      <x:c r="AU153" s="133" t="str">
        <x:v>Yeşilırmak</x:v>
      </x:c>
      <x:c r="AV153" s="133" t="str">
        <x:v>Polyline / LineString</x:v>
      </x:c>
      <x:c r="AW153" s="133" t="str">
        <x:v>https://cbs1.tarimorman.gov.tr/server/rest/services/TATUS/FeatureServer/8/query?where=HAVZA_ID%3D14&amp;geometry=38.622220%2C40.044720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53" s="133" t="str">
        <x:v>Havza ana akarsuyu ön-eşleme; TATUS spatial query ile doğrulanmalı</x:v>
      </x:c>
      <x:c r="AY153" s="133" t="str">
        <x:v>Polygon</x:v>
      </x:c>
      <x:c r="AZ153" s="133" t="str">
        <x:v>https://cbs1.tarimorman.gov.tr/server/rest/services/TATUS/FeatureServer/9/query?where=1%3D1&amp;geometry=38.622220%2C40.044720&amp;geometryType=esriGeometryPoint&amp;inSR=4326&amp;spatialRel=esriSpatialRelIntersects&amp;outFields=%2A&amp;returnGeometry=true&amp;outSR=4326&amp;resultRecordCount=5&amp;f=geojson</x:v>
      </x:c>
      <x:c r="BA153" s="133" t="str">
        <x:v>Santral popup: Su alanını göster</x:v>
      </x:c>
      <x:c r="BB153" s="133" t="str">
        <x:v>Yüksek-Orta</x:v>
      </x:c>
      <x:c r="BC153" s="133"/>
    </x:row>
    <x:row r="154" ht="30" customHeight="1">
      <x:c r="A154" s="100" t="n">
        <x:v>151</x:v>
      </x:c>
      <x:c r="B154" s="32" t="str">
        <x:v>SÜMER HES</x:v>
      </x:c>
      <x:c r="C154" s="32" t="str">
        <x:v>Yeşilırmak</x:v>
      </x:c>
      <x:c r="D154" s="32" t="str">
        <x:v>Yeşilırmak</x:v>
      </x:c>
      <x:c r="E154" s="34" t="n">
        <x:v>14</x:v>
      </x:c>
      <x:c r="F154" s="32" t="str">
        <x:v>https://cbs1.tarimorman.gov.tr/server/rest/services/TATUS/FeatureServer/11/query?where=ID%3D14&amp;outFields=ID%2CHAVZA_ADI%2CALAN_KM2&amp;returnGeometry=true&amp;outSR=4326&amp;f=geojson</x:v>
      </x:c>
      <x:c r="G154" s="32" t="str">
        <x:v>SÜMER</x:v>
      </x:c>
      <x:c r="H154" s="32" t="str">
        <x:v>GİRESUN</x:v>
      </x:c>
      <x:c r="I154" s="36"/>
      <x:c r="J154" s="36"/>
      <x:c r="K154" s="38" t="n">
        <x:v>1246</x:v>
      </x:c>
      <x:c r="L154" s="38" t="n">
        <x:v>1238</x:v>
      </x:c>
      <x:c r="M154" s="32"/>
      <x:c r="N154" s="38" t="n">
        <x:v>21.6</x:v>
      </x:c>
      <x:c r="O154" s="38"/>
      <x:c r="P154" s="38"/>
      <x:c r="Q154" s="38"/>
      <x:c r="R154" s="38"/>
      <x:c r="S154" s="38"/>
      <x:c r="T154" s="40"/>
      <x:c r="U154" s="32" t="str">
        <x:v>eşleşme yok</x:v>
      </x:c>
      <x:c r="V154" s="32" t="str">
        <x:v>C</x:v>
      </x:c>
      <x:c r="W154" s="32" t="str">
        <x:v>https://www.enerturk.com/kurumsal/faaliyetlerimiz/elektrik-uretim/hidroelektrik-santralleri-hes/sumer-hes</x:v>
      </x:c>
      <x:c r="X154" s="32" t="str">
        <x:v>https://openinframap.org/stats/area/Turkey/plants?source=hydro</x:v>
      </x:c>
      <x:c r="Y154" s="32"/>
      <x:c r="Z154" s="32" t="str">
        <x:v>10</x:v>
      </x:c>
      <x:c r="AA15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154" s="133" t="str">
        <x:v>Koordinat eksik</x:v>
      </x:c>
      <x:c r="AC154" s="133" t="str">
        <x:v>—</x:v>
      </x:c>
      <x:c r="AD154" s="133"/>
      <x:c r="AE154" s="133"/>
      <x:c r="AF154" s="133"/>
      <x:c r="AG154" s="134"/>
      <x:c r="AH154" s="134"/>
      <x:c r="AI154" s="133"/>
      <x:c r="AJ154" s="133"/>
      <x:c r="AK154" s="135"/>
      <x:c r="AL154" s="133" t="str">
        <x:v>Point</x:v>
      </x:c>
      <x:c r="AM154" s="133"/>
      <x:c r="AN154" s="133" t="str">
        <x:v>Koordinat yok</x:v>
      </x:c>
      <x:c r="AO154" s="133"/>
      <x:c r="AP154" s="133"/>
      <x:c r="AQ154" s="134"/>
      <x:c r="AR154" s="134"/>
      <x:c r="AS154" s="133"/>
      <x:c r="AT154" s="133" t="str">
        <x:v>https://cbs1.tarimorman.gov.tr/server/rest/services/TATUS/FeatureServer/7/query?where=HAVZA_ID%3D14+AND+%28BarajAdi%3D%27S%C3%9CMER%27%29&amp;outFields=OBJECTID%2CBarajAdi%2CHavzaAdi%2CHAVZA_ID%2CIl&amp;returnGeometry=true&amp;outSR=4326&amp;f=geojson</x:v>
      </x:c>
      <x:c r="AU154" s="133" t="str">
        <x:v>Yeşilırmak</x:v>
      </x:c>
      <x:c r="AV154" s="133" t="str">
        <x:v>Polyline / LineString</x:v>
      </x:c>
      <x:c r="AW154" s="133"/>
      <x:c r="AX154" s="133" t="str">
        <x:v>Havza ana akarsuyu ön-eşleme; TATUS spatial query ile doğrulanmalı</x:v>
      </x:c>
      <x:c r="AY154" s="133" t="str">
        <x:v>Polygon</x:v>
      </x:c>
      <x:c r="AZ154" s="133"/>
      <x:c r="BA154" s="133" t="str">
        <x:v>Santral popup: Su alanını göster</x:v>
      </x:c>
      <x:c r="BB154" s="133" t="str">
        <x:v>Yok</x:v>
      </x:c>
      <x:c r="BC154" s="133" t="str">
        <x:v>TATUS baraj point doğrudan eşleşmesi bu çalışma kitabında çözülmedi; sorgu URL'si eklendi; Koordinat eksik olduğu için akarsu ve su toplama alanı spatial sorgusu üretilemedi</x:v>
      </x:c>
    </x:row>
    <x:row r="155" ht="30" customHeight="1">
      <x:c r="A155" s="100" t="n">
        <x:v>152</x:v>
      </x:c>
      <x:c r="B155" s="32" t="str">
        <x:v>ŞANLIURFA HES</x:v>
      </x:c>
      <x:c r="C155" s="32" t="str">
        <x:v>Fırat Dicle</x:v>
      </x:c>
      <x:c r="D155" s="32" t="str">
        <x:v>Fırat-Dicle</x:v>
      </x:c>
      <x:c r="E155" s="34" t="n">
        <x:v>21</x:v>
      </x:c>
      <x:c r="F155" s="32" t="str">
        <x:v>https://cbs1.tarimorman.gov.tr/server/rest/services/TATUS/FeatureServer/11/query?where=ID%3D21&amp;outFields=ID%2CHAVZA_ADI%2CALAN_KM2&amp;returnGeometry=true&amp;outSR=4326&amp;f=geojson</x:v>
      </x:c>
      <x:c r="G155" s="32" t="str">
        <x:v>ŞANLIURFA</x:v>
      </x:c>
      <x:c r="H155" s="32" t="str">
        <x:v>ŞANLIURFA</x:v>
      </x:c>
      <x:c r="I155" s="36"/>
      <x:c r="J155" s="36"/>
      <x:c r="K155" s="38" t="n">
        <x:v>0</x:v>
      </x:c>
      <x:c r="L155" s="38" t="n">
        <x:v>0</x:v>
      </x:c>
      <x:c r="M155" s="32"/>
      <x:c r="N155" s="38" t="n">
        <x:v>51</x:v>
      </x:c>
      <x:c r="O155" s="38"/>
      <x:c r="P155" s="38"/>
      <x:c r="Q155" s="38"/>
      <x:c r="R155" s="38"/>
      <x:c r="S155" s="38"/>
      <x:c r="T155" s="40"/>
      <x:c r="U155" s="32" t="str">
        <x:v>eşleşme yok</x:v>
      </x:c>
      <x:c r="V155" s="32" t="str">
        <x:v>C</x:v>
      </x:c>
      <x:c r="W155" s="32" t="str">
        <x:v>https://www.enerjiatlasi.com/hidroelektrik/?v=1.0.24</x:v>
      </x:c>
      <x:c r="X155" s="32" t="str">
        <x:v>https://openinframap.org/stats/area/Turkey/plants?source=hydro</x:v>
      </x:c>
      <x:c r="Y155" s="32"/>
      <x:c r="Z155" s="32" t="str">
        <x:v>10</x:v>
      </x:c>
      <x:c r="AA155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  <x:c r="AB155" s="133" t="str">
        <x:v>Koordinat eksik</x:v>
      </x:c>
      <x:c r="AC155" s="133" t="str">
        <x:v>—</x:v>
      </x:c>
      <x:c r="AD155" s="133"/>
      <x:c r="AE155" s="133"/>
      <x:c r="AF155" s="133"/>
      <x:c r="AG155" s="134"/>
      <x:c r="AH155" s="134"/>
      <x:c r="AI155" s="133"/>
      <x:c r="AJ155" s="133"/>
      <x:c r="AK155" s="135"/>
      <x:c r="AL155" s="133" t="str">
        <x:v>Point</x:v>
      </x:c>
      <x:c r="AM155" s="133"/>
      <x:c r="AN155" s="133" t="str">
        <x:v>Koordinat yok</x:v>
      </x:c>
      <x:c r="AO155" s="133"/>
      <x:c r="AP155" s="133"/>
      <x:c r="AQ155" s="134"/>
      <x:c r="AR155" s="134"/>
      <x:c r="AS155" s="133"/>
      <x:c r="AT155" s="133" t="str">
        <x:v>https://cbs1.tarimorman.gov.tr/server/rest/services/TATUS/FeatureServer/7/query?where=HAVZA_ID%3D21+AND+%28BarajAdi%3D%27%C5%9EANLIURFA%27%29&amp;outFields=OBJECTID%2CBarajAdi%2CHavzaAdi%2CHAVZA_ID%2CIl&amp;returnGeometry=true&amp;outSR=4326&amp;f=geojson</x:v>
      </x:c>
      <x:c r="AU155" s="133"/>
      <x:c r="AV155" s="133" t="str">
        <x:v>Polyline / LineString</x:v>
      </x:c>
      <x:c r="AW155" s="133"/>
      <x:c r="AX155" s="133" t="str">
        <x:v>Koordinat yok; spatial eşleme yapılamadı</x:v>
      </x:c>
      <x:c r="AY155" s="133" t="str">
        <x:v>Polygon</x:v>
      </x:c>
      <x:c r="AZ155" s="133"/>
      <x:c r="BA155" s="133" t="str">
        <x:v>Santral popup: Su alanını göster</x:v>
      </x:c>
      <x:c r="BB155" s="133" t="str">
        <x:v>Yok</x:v>
      </x:c>
      <x:c r="BC155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56" ht="30" customHeight="1">
      <x:c r="A156" s="100" t="n">
        <x:v>153</x:v>
      </x:c>
      <x:c r="B156" s="32" t="str">
        <x:v>ŞIRNAK HES</x:v>
      </x:c>
      <x:c r="C156" s="32" t="str">
        <x:v>Fırat Dicle</x:v>
      </x:c>
      <x:c r="D156" s="32" t="str">
        <x:v>Fırat-Dicle</x:v>
      </x:c>
      <x:c r="E156" s="34" t="n">
        <x:v>21</x:v>
      </x:c>
      <x:c r="F156" s="32" t="str">
        <x:v>https://cbs1.tarimorman.gov.tr/server/rest/services/TATUS/FeatureServer/11/query?where=ID%3D21&amp;outFields=ID%2CHAVZA_ADI%2CALAN_KM2&amp;returnGeometry=true&amp;outSR=4326&amp;f=geojson</x:v>
      </x:c>
      <x:c r="G156" s="32" t="str">
        <x:v>ŞIRNAK</x:v>
      </x:c>
      <x:c r="H156" s="32" t="str">
        <x:v>ŞIRNAK</x:v>
      </x:c>
      <x:c r="I156" s="36"/>
      <x:c r="J156" s="36"/>
      <x:c r="K156" s="38" t="n">
        <x:v>810.51</x:v>
      </x:c>
      <x:c r="L156" s="38" t="n">
        <x:v>791</x:v>
      </x:c>
      <x:c r="M156" s="32" t="str">
        <x:v>SİLOPİ HES</x:v>
      </x:c>
      <x:c r="N156" s="38" t="n">
        <x:v>4.95</x:v>
      </x:c>
      <x:c r="O156" s="38"/>
      <x:c r="P156" s="38"/>
      <x:c r="Q156" s="38"/>
      <x:c r="R156" s="38"/>
      <x:c r="S156" s="38"/>
      <x:c r="T156" s="40"/>
      <x:c r="U156" s="32" t="str">
        <x:v>eşleşme yok</x:v>
      </x:c>
      <x:c r="V156" s="32" t="str">
        <x:v>C</x:v>
      </x:c>
      <x:c r="W156" s="32" t="str">
        <x:v>https://enerji.dsi.gov.tr/Haber/Detay/844</x:v>
      </x:c>
      <x:c r="X156" s="32" t="str">
        <x:v>https://enerji.dsi.gov.tr/Haber/Detay/844</x:v>
      </x:c>
      <x:c r="Y156" s="32"/>
      <x:c r="Z156" s="32" t="str">
        <x:v>SİLOPİ HES</x:v>
      </x:c>
      <x:c r="AA156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  <x:c r="AB156" s="133" t="str">
        <x:v>Koordinat eksik</x:v>
      </x:c>
      <x:c r="AC156" s="133" t="str">
        <x:v>—</x:v>
      </x:c>
      <x:c r="AD156" s="133"/>
      <x:c r="AE156" s="133"/>
      <x:c r="AF156" s="133"/>
      <x:c r="AG156" s="134"/>
      <x:c r="AH156" s="134"/>
      <x:c r="AI156" s="133"/>
      <x:c r="AJ156" s="133"/>
      <x:c r="AK156" s="135"/>
      <x:c r="AL156" s="133" t="str">
        <x:v>Point</x:v>
      </x:c>
      <x:c r="AM156" s="133"/>
      <x:c r="AN156" s="133" t="str">
        <x:v>Koordinat yok</x:v>
      </x:c>
      <x:c r="AO156" s="133"/>
      <x:c r="AP156" s="133"/>
      <x:c r="AQ156" s="134"/>
      <x:c r="AR156" s="134"/>
      <x:c r="AS156" s="133"/>
      <x:c r="AT156" s="133" t="str">
        <x:v>https://cbs1.tarimorman.gov.tr/server/rest/services/TATUS/FeatureServer/7/query?where=HAVZA_ID%3D21+AND+%28BarajAdi%3D%27%C5%9EIRNAK%27%29&amp;outFields=OBJECTID%2CBarajAdi%2CHavzaAdi%2CHAVZA_ID%2CIl&amp;returnGeometry=true&amp;outSR=4326&amp;f=geojson</x:v>
      </x:c>
      <x:c r="AU156" s="133"/>
      <x:c r="AV156" s="133" t="str">
        <x:v>Polyline / LineString</x:v>
      </x:c>
      <x:c r="AW156" s="133"/>
      <x:c r="AX156" s="133" t="str">
        <x:v>Koordinat yok; spatial eşleme yapılamadı</x:v>
      </x:c>
      <x:c r="AY156" s="133" t="str">
        <x:v>Polygon</x:v>
      </x:c>
      <x:c r="AZ156" s="133"/>
      <x:c r="BA156" s="133" t="str">
        <x:v>Santral popup: Su alanını göster</x:v>
      </x:c>
      <x:c r="BB156" s="133" t="str">
        <x:v>Yok</x:v>
      </x:c>
      <x:c r="BC156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57" ht="30" customHeight="1">
      <x:c r="A157" s="100" t="n">
        <x:v>154</x:v>
      </x:c>
      <x:c r="B157" s="32" t="str">
        <x:v>ŞİRVAN HES</x:v>
      </x:c>
      <x:c r="C157" s="32" t="str">
        <x:v>Fırat Dicle</x:v>
      </x:c>
      <x:c r="D157" s="32" t="str">
        <x:v>Fırat-Dicle</x:v>
      </x:c>
      <x:c r="E157" s="34" t="n">
        <x:v>21</x:v>
      </x:c>
      <x:c r="F157" s="32" t="str">
        <x:v>https://cbs1.tarimorman.gov.tr/server/rest/services/TATUS/FeatureServer/11/query?where=ID%3D21&amp;outFields=ID%2CHAVZA_ADI%2CALAN_KM2&amp;returnGeometry=true&amp;outSR=4326&amp;f=geojson</x:v>
      </x:c>
      <x:c r="G157" s="32" t="str">
        <x:v>ŞİRVAN</x:v>
      </x:c>
      <x:c r="H157" s="32" t="str">
        <x:v>SİİRT</x:v>
      </x:c>
      <x:c r="I157" s="36"/>
      <x:c r="J157" s="36"/>
      <x:c r="K157" s="38" t="n">
        <x:v>688</x:v>
      </x:c>
      <x:c r="L157" s="38" t="n">
        <x:v>667</x:v>
      </x:c>
      <x:c r="M157" s="32" t="str">
        <x:v>ILISU HES</x:v>
      </x:c>
      <x:c r="N157" s="38" t="n">
        <x:v>30</x:v>
      </x:c>
      <x:c r="O157" s="38"/>
      <x:c r="P157" s="38"/>
      <x:c r="Q157" s="38"/>
      <x:c r="R157" s="38"/>
      <x:c r="S157" s="38"/>
      <x:c r="T157" s="40"/>
      <x:c r="U157" s="32" t="str">
        <x:v>eşleşme yok</x:v>
      </x:c>
      <x:c r="V157" s="32" t="str">
        <x:v>C</x:v>
      </x:c>
      <x:c r="W157" s="32" t="str">
        <x:v>https://www.enerjiatlasi.com/hidroelektrik/?v=1.0.24</x:v>
      </x:c>
      <x:c r="X157" s="32" t="str">
        <x:v>https://openinframap.org/stats/area/Turkey/plants?source=hydro</x:v>
      </x:c>
      <x:c r="Y157" s="32"/>
      <x:c r="Z157" s="32" t="str">
        <x:v>ILISU HES</x:v>
      </x:c>
      <x:c r="AA157" s="101" t="str">
        <x:v>EPİAŞ su göstergesi eşleşmesi bulunamadı; Koordinat güvenilir açık kaynaktan doğrulanamadı; Ünite debisi doğrulanamadı; Maksimum/minimum hacim doğrulanamadı</x:v>
      </x:c>
      <x:c r="AB157" s="133" t="str">
        <x:v>Koordinat eksik</x:v>
      </x:c>
      <x:c r="AC157" s="133" t="str">
        <x:v>—</x:v>
      </x:c>
      <x:c r="AD157" s="133"/>
      <x:c r="AE157" s="133"/>
      <x:c r="AF157" s="133"/>
      <x:c r="AG157" s="134"/>
      <x:c r="AH157" s="134"/>
      <x:c r="AI157" s="133"/>
      <x:c r="AJ157" s="133"/>
      <x:c r="AK157" s="135"/>
      <x:c r="AL157" s="133" t="str">
        <x:v>Point</x:v>
      </x:c>
      <x:c r="AM157" s="133"/>
      <x:c r="AN157" s="133" t="str">
        <x:v>Koordinat yok</x:v>
      </x:c>
      <x:c r="AO157" s="133"/>
      <x:c r="AP157" s="133"/>
      <x:c r="AQ157" s="134"/>
      <x:c r="AR157" s="134"/>
      <x:c r="AS157" s="133"/>
      <x:c r="AT157" s="133" t="str">
        <x:v>https://cbs1.tarimorman.gov.tr/server/rest/services/TATUS/FeatureServer/7/query?where=HAVZA_ID%3D21+AND+%28BarajAdi%3D%27%C5%9E%C4%B0RVAN%27%29&amp;outFields=OBJECTID%2CBarajAdi%2CHavzaAdi%2CHAVZA_ID%2CIl&amp;returnGeometry=true&amp;outSR=4326&amp;f=geojson</x:v>
      </x:c>
      <x:c r="AU157" s="133"/>
      <x:c r="AV157" s="133" t="str">
        <x:v>Polyline / LineString</x:v>
      </x:c>
      <x:c r="AW157" s="133"/>
      <x:c r="AX157" s="133" t="str">
        <x:v>Koordinat yok; spatial eşleme yapılamadı</x:v>
      </x:c>
      <x:c r="AY157" s="133" t="str">
        <x:v>Polygon</x:v>
      </x:c>
      <x:c r="AZ157" s="133"/>
      <x:c r="BA157" s="133" t="str">
        <x:v>Santral popup: Su alanını göster</x:v>
      </x:c>
      <x:c r="BB157" s="133" t="str">
        <x:v>Yok</x:v>
      </x:c>
      <x:c r="BC157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58" ht="30" customHeight="1">
      <x:c r="A158" s="100" t="n">
        <x:v>155</x:v>
      </x:c>
      <x:c r="B158" s="32" t="str">
        <x:v>TATAR HES</x:v>
      </x:c>
      <x:c r="C158" s="32" t="str">
        <x:v>Fırat Dicle</x:v>
      </x:c>
      <x:c r="D158" s="32" t="str">
        <x:v>Fırat-Dicle</x:v>
      </x:c>
      <x:c r="E158" s="34" t="n">
        <x:v>21</x:v>
      </x:c>
      <x:c r="F158" s="32" t="str">
        <x:v>https://cbs1.tarimorman.gov.tr/server/rest/services/TATUS/FeatureServer/11/query?where=ID%3D21&amp;outFields=ID%2CHAVZA_ADI%2CALAN_KM2&amp;returnGeometry=true&amp;outSR=4326&amp;f=geojson</x:v>
      </x:c>
      <x:c r="G158" s="32" t="str">
        <x:v>TATAR</x:v>
      </x:c>
      <x:c r="H158" s="32" t="str">
        <x:v>ELAZIĞ</x:v>
      </x:c>
      <x:c r="I158" s="36" t="n">
        <x:v>38.86</x:v>
      </x:c>
      <x:c r="J158" s="36" t="n">
        <x:v>39.816</x:v>
      </x:c>
      <x:c r="K158" s="38" t="n">
        <x:v>915</x:v>
      </x:c>
      <x:c r="L158" s="38" t="n">
        <x:v>909.5</x:v>
      </x:c>
      <x:c r="M158" s="32" t="str">
        <x:v>KEBAN HES</x:v>
      </x:c>
      <x:c r="N158" s="38" t="n">
        <x:v>128</x:v>
      </x:c>
      <x:c r="O158" s="38"/>
      <x:c r="P158" s="38"/>
      <x:c r="Q158" s="38"/>
      <x:c r="R158" s="38"/>
      <x:c r="S158" s="38"/>
      <x:c r="T158" s="40"/>
      <x:c r="U158" s="32" t="str">
        <x:v>eşleşme yok</x:v>
      </x:c>
      <x:c r="V158" s="32" t="str">
        <x:v>C</x:v>
      </x:c>
      <x:c r="W158" s="32" t="str">
        <x:v>https://www.enerjiatlasi.com/hidroelektrik/?v=1.0.24</x:v>
      </x:c>
      <x:c r="X158" s="32" t="str">
        <x:v>https://openinframap.org/stats/area/Turkey/plants?source=hydro</x:v>
      </x:c>
      <x:c r="Y158" s="32" t="str">
        <x:v>hes_MERKEZI_LISTESI.xlsx — trafo merkezi koordinatı (yaklaşık)</x:v>
      </x:c>
      <x:c r="Z158" s="32" t="str">
        <x:v>KEBAN HES</x:v>
      </x:c>
      <x:c r="AA158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58" s="133" t="str">
        <x:v>Trafo merkezi koordinatı ile tamamlandı</x:v>
      </x:c>
      <x:c r="AC158" s="133" t="str">
        <x:v>Trafo merkezi / elektrik bağlantı noktası (yaklaşık)</x:v>
      </x:c>
      <x:c r="AD158" s="133" t="n">
        <x:v>1093</x:v>
      </x:c>
      <x:c r="AE158" s="133" t="str">
        <x:v>TATAR HES</x:v>
      </x:c>
      <x:c r="AF158" s="133" t="str">
        <x:v>Elazığ</x:v>
      </x:c>
      <x:c r="AG158" s="134" t="n">
        <x:v>38.86</x:v>
      </x:c>
      <x:c r="AH158" s="134" t="n">
        <x:v>39.816</x:v>
      </x:c>
      <x:c r="AI158" s="133" t="str">
        <x:v>Tam ad eşleşmesi</x:v>
      </x:c>
      <x:c r="AJ158" s="133" t="str">
        <x:v>Yüksek</x:v>
      </x:c>
      <x:c r="AK158" s="135"/>
      <x:c r="AL158" s="133" t="str">
        <x:v>Point</x:v>
      </x:c>
      <x:c r="AM158" s="133" t="str">
        <x:v>{"type": "Point", "coordinates": [39.816, 38.86]}</x:v>
      </x:c>
      <x:c r="AN158" s="133" t="str">
        <x:v>Trafo merkezi / elektrik bağlantı noktası (yaklaşık)</x:v>
      </x:c>
      <x:c r="AO158" s="133"/>
      <x:c r="AP158" s="133"/>
      <x:c r="AQ158" s="134"/>
      <x:c r="AR158" s="134"/>
      <x:c r="AS158" s="133"/>
      <x:c r="AT158" s="133" t="str">
        <x:v>https://cbs1.tarimorman.gov.tr/server/rest/services/TATUS/FeatureServer/7/query?where=HAVZA_ID%3D21+AND+%28BarajAdi%3D%27TATAR%27%29&amp;outFields=OBJECTID%2CBarajAdi%2CHavzaAdi%2CHAVZA_ID%2CIl&amp;returnGeometry=true&amp;outSR=4326&amp;f=geojson</x:v>
      </x:c>
      <x:c r="AU158" s="133"/>
      <x:c r="AV158" s="133" t="str">
        <x:v>Polyline / LineString</x:v>
      </x:c>
      <x:c r="AW158" s="133" t="str">
        <x:v>https://cbs1.tarimorman.gov.tr/server/rest/services/TATUS/FeatureServer/8/query?where=HAVZA_ID%3D21&amp;geometry=39.816000%2C38.860000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58" s="133" t="str">
        <x:v>TATUS spatial query hazır; en yakın/uygun LineString seçilmeli</x:v>
      </x:c>
      <x:c r="AY158" s="133" t="str">
        <x:v>Polygon</x:v>
      </x:c>
      <x:c r="AZ158" s="133" t="str">
        <x:v>https://cbs1.tarimorman.gov.tr/server/rest/services/TATUS/FeatureServer/9/query?where=1%3D1&amp;geometry=39.816000%2C38.860000&amp;geometryType=esriGeometryPoint&amp;inSR=4326&amp;spatialRel=esriSpatialRelIntersects&amp;outFields=%2A&amp;returnGeometry=true&amp;outSR=4326&amp;resultRecordCount=5&amp;f=geojson</x:v>
      </x:c>
      <x:c r="BA158" s="133" t="str">
        <x:v>Santral popup: Su alanını göster</x:v>
      </x:c>
      <x:c r="BB158" s="133" t="str">
        <x:v>Orta-Düşük</x:v>
      </x:c>
      <x:c r="BC158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59" ht="30" customHeight="1">
      <x:c r="A159" s="100" t="n">
        <x:v>156</x:v>
      </x:c>
      <x:c r="B159" s="32" t="str">
        <x:v>TEPEKIŞLA HES</x:v>
      </x:c>
      <x:c r="C159" s="32" t="str">
        <x:v>Yeşilırmak</x:v>
      </x:c>
      <x:c r="D159" s="32" t="str">
        <x:v>Yeşilırmak</x:v>
      </x:c>
      <x:c r="E159" s="34" t="n">
        <x:v>14</x:v>
      </x:c>
      <x:c r="F159" s="32" t="str">
        <x:v>https://cbs1.tarimorman.gov.tr/server/rest/services/TATUS/FeatureServer/11/query?where=ID%3D14&amp;outFields=ID%2CHAVZA_ADI%2CALAN_KM2&amp;returnGeometry=true&amp;outSR=4326&amp;f=geojson</x:v>
      </x:c>
      <x:c r="G159" s="32" t="str">
        <x:v>TEPEKIŞLA</x:v>
      </x:c>
      <x:c r="H159" s="32" t="str">
        <x:v>TOKAT</x:v>
      </x:c>
      <x:c r="I159" s="36" t="n">
        <x:v>40.66143</x:v>
      </x:c>
      <x:c r="J159" s="36" t="n">
        <x:v>36.70252</x:v>
      </x:c>
      <x:c r="K159" s="38" t="n">
        <x:v>252.5</x:v>
      </x:c>
      <x:c r="L159" s="38" t="n">
        <x:v>245.8</x:v>
      </x:c>
      <x:c r="M159" s="32"/>
      <x:c r="N159" s="38" t="n">
        <x:v>10</x:v>
      </x:c>
      <x:c r="O159" s="38" t="n">
        <x:v>213</x:v>
      </x:c>
      <x:c r="P159" s="38" t="n">
        <x:v>33.11</x:v>
      </x:c>
      <x:c r="Q159" s="38" t="n">
        <x:v>20.15</x:v>
      </x:c>
      <x:c r="R159" s="38" t="n">
        <x:v>10.41</x:v>
      </x:c>
      <x:c r="S159" s="38" t="n">
        <x:v>1.05</x:v>
      </x:c>
      <x:c r="T159" s="40" t="n">
        <x:v>46278.81434027778</x:v>
      </x:c>
      <x:c r="U159" s="32" t="str">
        <x:v>exact</x:v>
      </x:c>
      <x:c r="V159" s="32" t="str">
        <x:v>A</x:v>
      </x:c>
      <x:c r="W159" s="32" t="str">
        <x:v>Yüklü Debi_ve_Kurulu_Guc-13092026.xlsx</x:v>
      </x:c>
      <x:c r="X159" s="32" t="str">
        <x:v>Yüklü Debi_ve_Kurulu_Guc-13092026.xlsx</x:v>
      </x:c>
      <x:c r="Y159" s="32" t="str">
        <x:v>https://cbs1.tarimorman.gov.tr/server/rest/services/TATUS/FeatureServer/7</x:v>
      </x:c>
      <x:c r="Z159" s="32" t="str">
        <x:v>10</x:v>
      </x:c>
      <x:c r="AA159" s="101" t="str">
        <x:v>Kaskat alanında kaynak değeri '10' (belirsiz/sentinel)</x:v>
      </x:c>
      <x:c r="AB159" s="133" t="str">
        <x:v>Doğrulanmış koordinat mevcut</x:v>
      </x:c>
      <x:c r="AC159" s="133" t="str">
        <x:v>HES / baraj noktası</x:v>
      </x:c>
      <x:c r="AD159" s="133" t="n">
        <x:v>1283</x:v>
      </x:c>
      <x:c r="AE159" s="133" t="str">
        <x:v>TEPEKIŞLA HES</x:v>
      </x:c>
      <x:c r="AF159" s="133" t="str">
        <x:v>Tokat</x:v>
      </x:c>
      <x:c r="AG159" s="134" t="n">
        <x:v>40.66</x:v>
      </x:c>
      <x:c r="AH159" s="134" t="n">
        <x:v>36.701</x:v>
      </x:c>
      <x:c r="AI159" s="133" t="str">
        <x:v>Tam ad eşleşmesi</x:v>
      </x:c>
      <x:c r="AJ159" s="133" t="str">
        <x:v>Yüksek</x:v>
      </x:c>
      <x:c r="AK159" s="135" t="n">
        <x:v>0.204</x:v>
      </x:c>
      <x:c r="AL159" s="133" t="str">
        <x:v>Point</x:v>
      </x:c>
      <x:c r="AM159" s="133" t="str">
        <x:v>{"type": "Point", "coordinates": [36.70252, 40.66143]}</x:v>
      </x:c>
      <x:c r="AN159" s="133" t="str">
        <x:v>TATUS Baraj Gözlem Point</x:v>
      </x:c>
      <x:c r="AO159" s="133" t="str">
        <x:v>TEPEKIŞLA</x:v>
      </x:c>
      <x:c r="AP159" s="133" t="n">
        <x:v>1</x:v>
      </x:c>
      <x:c r="AQ159" s="134" t="n">
        <x:v>40.66143</x:v>
      </x:c>
      <x:c r="AR159" s="134" t="n">
        <x:v>36.70252</x:v>
      </x:c>
      <x:c r="AS159" s="133" t="str">
        <x:v>{"type": "Point", "coordinates": [36.70252, 40.66143]}</x:v>
      </x:c>
      <x:c r="AT159" s="133" t="str">
        <x:v>https://cbs1.tarimorman.gov.tr/server/rest/services/TATUS/FeatureServer/7/query?where=HAVZA_ID%3D14+AND+%28BarajAdi%3D%27TEPEKI%C5%9ELA%27%29&amp;outFields=OBJECTID%2CBarajAdi%2CHavzaAdi%2CHAVZA_ID%2CIl&amp;returnGeometry=true&amp;outSR=4326&amp;f=geojson</x:v>
      </x:c>
      <x:c r="AU159" s="133" t="str">
        <x:v>Yeşilırmak</x:v>
      </x:c>
      <x:c r="AV159" s="133" t="str">
        <x:v>Polyline / LineString</x:v>
      </x:c>
      <x:c r="AW159" s="133" t="str">
        <x:v>https://cbs1.tarimorman.gov.tr/server/rest/services/TATUS/FeatureServer/8/query?where=HAVZA_ID%3D14&amp;geometry=36.702520%2C40.661430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59" s="133" t="str">
        <x:v>Havza ana akarsuyu ön-eşleme; TATUS spatial query ile doğrulanmalı</x:v>
      </x:c>
      <x:c r="AY159" s="133" t="str">
        <x:v>Polygon</x:v>
      </x:c>
      <x:c r="AZ159" s="133" t="str">
        <x:v>https://cbs1.tarimorman.gov.tr/server/rest/services/TATUS/FeatureServer/9/query?where=1%3D1&amp;geometry=36.702520%2C40.661430&amp;geometryType=esriGeometryPoint&amp;inSR=4326&amp;spatialRel=esriSpatialRelIntersects&amp;outFields=%2A&amp;returnGeometry=true&amp;outSR=4326&amp;resultRecordCount=5&amp;f=geojson</x:v>
      </x:c>
      <x:c r="BA159" s="133" t="str">
        <x:v>Santral popup: Su alanını göster</x:v>
      </x:c>
      <x:c r="BB159" s="133" t="str">
        <x:v>Yüksek</x:v>
      </x:c>
      <x:c r="BC159" s="133"/>
    </x:row>
    <x:row r="160" ht="30" customHeight="1">
      <x:c r="A160" s="100" t="n">
        <x:v>157</x:v>
      </x:c>
      <x:c r="B160" s="32" t="str">
        <x:v>TERCAN HES</x:v>
      </x:c>
      <x:c r="C160" s="32" t="str">
        <x:v>Fırat Dicle</x:v>
      </x:c>
      <x:c r="D160" s="32" t="str">
        <x:v>Fırat-Dicle</x:v>
      </x:c>
      <x:c r="E160" s="34" t="n">
        <x:v>21</x:v>
      </x:c>
      <x:c r="F160" s="32" t="str">
        <x:v>https://cbs1.tarimorman.gov.tr/server/rest/services/TATUS/FeatureServer/11/query?where=ID%3D21&amp;outFields=ID%2CHAVZA_ADI%2CALAN_KM2&amp;returnGeometry=true&amp;outSR=4326&amp;f=geojson</x:v>
      </x:c>
      <x:c r="G160" s="32" t="str">
        <x:v>TERCAN</x:v>
      </x:c>
      <x:c r="H160" s="32" t="str">
        <x:v>ERZİNCAN</x:v>
      </x:c>
      <x:c r="I160" s="36"/>
      <x:c r="J160" s="36"/>
      <x:c r="K160" s="38" t="n">
        <x:v>1463</x:v>
      </x:c>
      <x:c r="L160" s="38" t="n">
        <x:v>1444.1</x:v>
      </x:c>
      <x:c r="M160" s="32" t="str">
        <x:v>BAĞIŞTAŞ1 HES</x:v>
      </x:c>
      <x:c r="N160" s="38" t="n">
        <x:v>16.9</x:v>
      </x:c>
      <x:c r="O160" s="38"/>
      <x:c r="P160" s="38"/>
      <x:c r="Q160" s="38"/>
      <x:c r="R160" s="38"/>
      <x:c r="S160" s="38"/>
      <x:c r="T160" s="40"/>
      <x:c r="U160" s="32" t="str">
        <x:v>eşleşme yok</x:v>
      </x:c>
      <x:c r="V160" s="32" t="str">
        <x:v>C</x:v>
      </x:c>
      <x:c r="W160" s="32" t="str">
        <x:v>https://openinframap.org/stats/area/Turkey/plants?source=hydro</x:v>
      </x:c>
      <x:c r="X160" s="32" t="str">
        <x:v>https://openinframap.org/stats/area/Turkey/plants?source=hydro</x:v>
      </x:c>
      <x:c r="Y160" s="32"/>
      <x:c r="Z160" s="32" t="str">
        <x:v>BAĞIŞTAŞ1 HES</x:v>
      </x:c>
      <x:c r="AA160" s="101" t="str">
        <x:v>EPİAŞ su göstergesi eşleşmesi bulunamadı; Koordinat güvenilir açık kaynaktan doğrulanamadı; Ünite debisi doğrulanamadı; Maksimum/minimum hacim doğrulanamadı</x:v>
      </x:c>
      <x:c r="AB160" s="133" t="str">
        <x:v>Koordinat eksik</x:v>
      </x:c>
      <x:c r="AC160" s="133" t="str">
        <x:v>—</x:v>
      </x:c>
      <x:c r="AD160" s="133"/>
      <x:c r="AE160" s="133"/>
      <x:c r="AF160" s="133"/>
      <x:c r="AG160" s="134"/>
      <x:c r="AH160" s="134"/>
      <x:c r="AI160" s="133"/>
      <x:c r="AJ160" s="133"/>
      <x:c r="AK160" s="135"/>
      <x:c r="AL160" s="133" t="str">
        <x:v>Point</x:v>
      </x:c>
      <x:c r="AM160" s="133"/>
      <x:c r="AN160" s="133" t="str">
        <x:v>Koordinat yok</x:v>
      </x:c>
      <x:c r="AO160" s="133"/>
      <x:c r="AP160" s="133"/>
      <x:c r="AQ160" s="134"/>
      <x:c r="AR160" s="134"/>
      <x:c r="AS160" s="133"/>
      <x:c r="AT160" s="133" t="str">
        <x:v>https://cbs1.tarimorman.gov.tr/server/rest/services/TATUS/FeatureServer/7/query?where=HAVZA_ID%3D21+AND+%28BarajAdi%3D%27TERCAN%27%29&amp;outFields=OBJECTID%2CBarajAdi%2CHavzaAdi%2CHAVZA_ID%2CIl&amp;returnGeometry=true&amp;outSR=4326&amp;f=geojson</x:v>
      </x:c>
      <x:c r="AU160" s="133"/>
      <x:c r="AV160" s="133" t="str">
        <x:v>Polyline / LineString</x:v>
      </x:c>
      <x:c r="AW160" s="133"/>
      <x:c r="AX160" s="133" t="str">
        <x:v>Koordinat yok; spatial eşleme yapılamadı</x:v>
      </x:c>
      <x:c r="AY160" s="133" t="str">
        <x:v>Polygon</x:v>
      </x:c>
      <x:c r="AZ160" s="133"/>
      <x:c r="BA160" s="133" t="str">
        <x:v>Santral popup: Su alanını göster</x:v>
      </x:c>
      <x:c r="BB160" s="133" t="str">
        <x:v>Yok</x:v>
      </x:c>
      <x:c r="BC160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61" ht="30" customHeight="1">
      <x:c r="A161" s="100" t="n">
        <x:v>158</x:v>
      </x:c>
      <x:c r="B161" s="32" t="str">
        <x:v>TOCAK I HES</x:v>
      </x:c>
      <x:c r="C161" s="32" t="str">
        <x:v>Batı Akdeniz</x:v>
      </x:c>
      <x:c r="D161" s="32" t="str">
        <x:v>Batı Akdeniz</x:v>
      </x:c>
      <x:c r="E161" s="34" t="n">
        <x:v>8</x:v>
      </x:c>
      <x:c r="F161" s="32" t="str">
        <x:v>https://cbs1.tarimorman.gov.tr/server/rest/services/TATUS/FeatureServer/11/query?where=ID%3D8&amp;outFields=ID%2CHAVZA_ADI%2CALAN_KM2&amp;returnGeometry=true&amp;outSR=4326&amp;f=geojson</x:v>
      </x:c>
      <x:c r="G161" s="32" t="str">
        <x:v>TOCAK I</x:v>
      </x:c>
      <x:c r="H161" s="32" t="str">
        <x:v>ANTALYA</x:v>
      </x:c>
      <x:c r="I161" s="36"/>
      <x:c r="J161" s="36"/>
      <x:c r="K161" s="38" t="n">
        <x:v>138.5</x:v>
      </x:c>
      <x:c r="L161" s="38" t="n">
        <x:v>120.5</x:v>
      </x:c>
      <x:c r="M161" s="32"/>
      <x:c r="N161" s="38" t="n">
        <x:v>4.76</x:v>
      </x:c>
      <x:c r="O161" s="38"/>
      <x:c r="P161" s="38"/>
      <x:c r="Q161" s="38"/>
      <x:c r="R161" s="38"/>
      <x:c r="S161" s="38"/>
      <x:c r="T161" s="40"/>
      <x:c r="U161" s="32" t="str">
        <x:v>eşleşme yok</x:v>
      </x:c>
      <x:c r="V161" s="32" t="str">
        <x:v>C</x:v>
      </x:c>
      <x:c r="W161" s="32" t="str">
        <x:v>https://csenergy.csglobal.com.tr/tesislerimiz</x:v>
      </x:c>
      <x:c r="X161" s="32" t="str">
        <x:v>https://csenergy.csglobal.com.tr/tesislerimiz</x:v>
      </x:c>
      <x:c r="Y161" s="32"/>
      <x:c r="Z161" s="32" t="str">
        <x:v>10</x:v>
      </x:c>
      <x:c r="AA161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161" s="133" t="str">
        <x:v>Koordinat eksik</x:v>
      </x:c>
      <x:c r="AC161" s="133" t="str">
        <x:v>—</x:v>
      </x:c>
      <x:c r="AD161" s="133"/>
      <x:c r="AE161" s="133"/>
      <x:c r="AF161" s="133"/>
      <x:c r="AG161" s="134"/>
      <x:c r="AH161" s="134"/>
      <x:c r="AI161" s="133"/>
      <x:c r="AJ161" s="133"/>
      <x:c r="AK161" s="135"/>
      <x:c r="AL161" s="133" t="str">
        <x:v>Point</x:v>
      </x:c>
      <x:c r="AM161" s="133"/>
      <x:c r="AN161" s="133" t="str">
        <x:v>Koordinat yok</x:v>
      </x:c>
      <x:c r="AO161" s="133"/>
      <x:c r="AP161" s="133"/>
      <x:c r="AQ161" s="134"/>
      <x:c r="AR161" s="134"/>
      <x:c r="AS161" s="133"/>
      <x:c r="AT161" s="133" t="str">
        <x:v>https://cbs1.tarimorman.gov.tr/server/rest/services/TATUS/FeatureServer/7/query?where=HAVZA_ID%3D8+AND+%28BarajAdi%3D%27TOCAK+I%27%29&amp;outFields=OBJECTID%2CBarajAdi%2CHavzaAdi%2CHAVZA_ID%2CIl&amp;returnGeometry=true&amp;outSR=4326&amp;f=geojson</x:v>
      </x:c>
      <x:c r="AU161" s="133"/>
      <x:c r="AV161" s="133" t="str">
        <x:v>Polyline / LineString</x:v>
      </x:c>
      <x:c r="AW161" s="133"/>
      <x:c r="AX161" s="133" t="str">
        <x:v>Koordinat yok; spatial eşleme yapılamadı</x:v>
      </x:c>
      <x:c r="AY161" s="133" t="str">
        <x:v>Polygon</x:v>
      </x:c>
      <x:c r="AZ161" s="133"/>
      <x:c r="BA161" s="133" t="str">
        <x:v>Santral popup: Su alanını göster</x:v>
      </x:c>
      <x:c r="BB161" s="133" t="str">
        <x:v>Yok</x:v>
      </x:c>
      <x:c r="BC161" s="133" t="str">
        <x:v>TATUS baraj point doğrudan eşleşmesi bu çalışma kitabında çözülmedi; sorgu URL'si eklendi; Koordinat eksik olduğu için akarsu ve su toplama alanı spatial sorgusu üretilemedi</x:v>
      </x:c>
    </x:row>
    <x:row r="162" ht="30" customHeight="1">
      <x:c r="A162" s="100" t="n">
        <x:v>159</x:v>
      </x:c>
      <x:c r="B162" s="32" t="str">
        <x:v>TOKAT AKINCI HES</x:v>
      </x:c>
      <x:c r="C162" s="32" t="str">
        <x:v>Yeşilırmak</x:v>
      </x:c>
      <x:c r="D162" s="32" t="str">
        <x:v>Yeşilırmak</x:v>
      </x:c>
      <x:c r="E162" s="34" t="n">
        <x:v>14</x:v>
      </x:c>
      <x:c r="F162" s="32" t="str">
        <x:v>https://cbs1.tarimorman.gov.tr/server/rest/services/TATUS/FeatureServer/11/query?where=ID%3D14&amp;outFields=ID%2CHAVZA_ADI%2CALAN_KM2&amp;returnGeometry=true&amp;outSR=4326&amp;f=geojson</x:v>
      </x:c>
      <x:c r="G162" s="32" t="str">
        <x:v>TOKAT AKINCI</x:v>
      </x:c>
      <x:c r="H162" s="32" t="str">
        <x:v>TOKAT</x:v>
      </x:c>
      <x:c r="I162" s="36" t="n">
        <x:v>40.44</x:v>
      </x:c>
      <x:c r="J162" s="36" t="n">
        <x:v>37.115</x:v>
      </x:c>
      <x:c r="K162" s="38" t="n">
        <x:v>484</x:v>
      </x:c>
      <x:c r="L162" s="38" t="n">
        <x:v>482</x:v>
      </x:c>
      <x:c r="M162" s="32"/>
      <x:c r="N162" s="38" t="n">
        <x:v>99</x:v>
      </x:c>
      <x:c r="O162" s="38"/>
      <x:c r="P162" s="38"/>
      <x:c r="Q162" s="38"/>
      <x:c r="R162" s="38"/>
      <x:c r="S162" s="38"/>
      <x:c r="T162" s="40"/>
      <x:c r="U162" s="32" t="str">
        <x:v>eşleşme yok</x:v>
      </x:c>
      <x:c r="V162" s="32" t="str">
        <x:v>C</x:v>
      </x:c>
      <x:c r="W162" s="32" t="str">
        <x:v>https://news-content.foreks.com/attachments/kap/4028328d9c81f589019cb50969282455.pdf</x:v>
      </x:c>
      <x:c r="X162" s="32" t="str">
        <x:v>https://news-content.foreks.com/attachments/kap/4028328d9c81f589019cb50969282455.pdf</x:v>
      </x:c>
      <x:c r="Y162" s="32" t="str">
        <x:v>hes_MERKEZI_LISTESI.xlsx — trafo merkezi koordinatı (yaklaşık)</x:v>
      </x:c>
      <x:c r="Z162" s="32" t="str">
        <x:v>10</x:v>
      </x:c>
      <x:c r="AA162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doğrulanamadı; Santral/baraj kesin koordinatı doğrulanamadığı için eşleşen trafo merkezi koordinatı harita referansı olarak kullanıldı; kesin HES konumu değildir.</x:v>
      </x:c>
      <x:c r="AB162" s="133" t="str">
        <x:v>Trafo merkezi koordinatı ile tamamlandı</x:v>
      </x:c>
      <x:c r="AC162" s="133" t="str">
        <x:v>Trafo merkezi / elektrik bağlantı noktası (yaklaşık)</x:v>
      </x:c>
      <x:c r="AD162" s="133" t="n">
        <x:v>1541</x:v>
      </x:c>
      <x:c r="AE162" s="133" t="str">
        <x:v>AKINCI HES TOKAT</x:v>
      </x:c>
      <x:c r="AF162" s="133" t="str">
        <x:v>Tokat</x:v>
      </x:c>
      <x:c r="AG162" s="134" t="n">
        <x:v>40.44</x:v>
      </x:c>
      <x:c r="AH162" s="134" t="n">
        <x:v>37.115</x:v>
      </x:c>
      <x:c r="AI162" s="133" t="str">
        <x:v>Kontrollü ad/alias eşleşmesi</x:v>
      </x:c>
      <x:c r="AJ162" s="133" t="str">
        <x:v>Orta-Yüksek</x:v>
      </x:c>
      <x:c r="AK162" s="135"/>
      <x:c r="AL162" s="133" t="str">
        <x:v>Point</x:v>
      </x:c>
      <x:c r="AM162" s="133" t="str">
        <x:v>{"type": "Point", "coordinates": [37.115, 40.44]}</x:v>
      </x:c>
      <x:c r="AN162" s="133" t="str">
        <x:v>Trafo merkezi / elektrik bağlantı noktası (yaklaşık)</x:v>
      </x:c>
      <x:c r="AO162" s="133"/>
      <x:c r="AP162" s="133"/>
      <x:c r="AQ162" s="134"/>
      <x:c r="AR162" s="134"/>
      <x:c r="AS162" s="133"/>
      <x:c r="AT162" s="133" t="str">
        <x:v>https://cbs1.tarimorman.gov.tr/server/rest/services/TATUS/FeatureServer/7/query?where=HAVZA_ID%3D14+AND+%28BarajAdi%3D%27TOKAT+AKINCI%27%29&amp;outFields=OBJECTID%2CBarajAdi%2CHavzaAdi%2CHAVZA_ID%2CIl&amp;returnGeometry=true&amp;outSR=4326&amp;f=geojson</x:v>
      </x:c>
      <x:c r="AU162" s="133" t="str">
        <x:v>Yeşilırmak</x:v>
      </x:c>
      <x:c r="AV162" s="133" t="str">
        <x:v>Polyline / LineString</x:v>
      </x:c>
      <x:c r="AW162" s="133" t="str">
        <x:v>https://cbs1.tarimorman.gov.tr/server/rest/services/TATUS/FeatureServer/8/query?where=HAVZA_ID%3D14&amp;geometry=37.115000%2C40.440000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62" s="133" t="str">
        <x:v>Havza ana akarsuyu ön-eşleme; TATUS spatial query ile doğrulanmalı</x:v>
      </x:c>
      <x:c r="AY162" s="133" t="str">
        <x:v>Polygon</x:v>
      </x:c>
      <x:c r="AZ162" s="133" t="str">
        <x:v>https://cbs1.tarimorman.gov.tr/server/rest/services/TATUS/FeatureServer/9/query?where=1%3D1&amp;geometry=37.115000%2C40.440000&amp;geometryType=esriGeometryPoint&amp;inSR=4326&amp;spatialRel=esriSpatialRelIntersects&amp;outFields=%2A&amp;returnGeometry=true&amp;outSR=4326&amp;resultRecordCount=5&amp;f=geojson</x:v>
      </x:c>
      <x:c r="BA162" s="133" t="str">
        <x:v>Santral popup: Su alanını göster</x:v>
      </x:c>
      <x:c r="BB162" s="133" t="str">
        <x:v>Orta-Düşük</x:v>
      </x:c>
      <x:c r="BC162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63" ht="30" customHeight="1">
      <x:c r="A163" s="100" t="n">
        <x:v>160</x:v>
      </x:c>
      <x:c r="B163" s="32" t="str">
        <x:v>TOPÇAM HES</x:v>
      </x:c>
      <x:c r="C163" s="32" t="str">
        <x:v>Doğu Karadeniz</x:v>
      </x:c>
      <x:c r="D163" s="32" t="str">
        <x:v>Doğu Karadeniz</x:v>
      </x:c>
      <x:c r="E163" s="34" t="n">
        <x:v>22</x:v>
      </x:c>
      <x:c r="F163" s="32" t="str">
        <x:v>https://cbs1.tarimorman.gov.tr/server/rest/services/TATUS/FeatureServer/11/query?where=ID%3D22&amp;outFields=ID%2CHAVZA_ADI%2CALAN_KM2&amp;returnGeometry=true&amp;outSR=4326&amp;f=geojson</x:v>
      </x:c>
      <x:c r="G163" s="32" t="str">
        <x:v>TOPÇAM-ORDU</x:v>
      </x:c>
      <x:c r="H163" s="32" t="str">
        <x:v>ORDU</x:v>
      </x:c>
      <x:c r="I163" s="36" t="n">
        <x:v>40.656</x:v>
      </x:c>
      <x:c r="J163" s="36" t="n">
        <x:v>37.796</x:v>
      </x:c>
      <x:c r="K163" s="38" t="n">
        <x:v>910</x:v>
      </x:c>
      <x:c r="L163" s="38" t="n">
        <x:v>854.5</x:v>
      </x:c>
      <x:c r="M163" s="32"/>
      <x:c r="N163" s="38" t="n">
        <x:v>60</x:v>
      </x:c>
      <x:c r="O163" s="38" t="n">
        <x:v>30.6</x:v>
      </x:c>
      <x:c r="P163" s="38" t="n">
        <x:v>132.88</x:v>
      </x:c>
      <x:c r="Q163" s="38" t="n">
        <x:v>22</x:v>
      </x:c>
      <x:c r="R163" s="38" t="n">
        <x:v>53.53</x:v>
      </x:c>
      <x:c r="S163" s="38" t="n">
        <x:v>33.46</x:v>
      </x:c>
      <x:c r="T163" s="40" t="n">
        <x:v>46278.81434027778</x:v>
      </x:c>
      <x:c r="U163" s="32" t="str">
        <x:v>water-level</x:v>
      </x:c>
      <x:c r="V163" s="32" t="str">
        <x:v>B</x:v>
      </x:c>
      <x:c r="W163" s="32" t="str">
        <x:v>Yüklü Debi_ve_Kurulu_Guc-13092026.xlsx</x:v>
      </x:c>
      <x:c r="X163" s="32" t="str">
        <x:v>Yüklü Debi_ve_Kurulu_Guc-13092026.xlsx</x:v>
      </x:c>
      <x:c r="Y163" s="32" t="str">
        <x:v>hes_MERKEZI_LISTESI.xlsx — trafo merkezi koordinatı (yaklaşık)</x:v>
      </x:c>
      <x:c r="Z163" s="32" t="str">
        <x:v>10</x:v>
      </x:c>
      <x:c r="AA163" s="101" t="str">
        <x:v>Baraj eşleşmesi max/min kot üzerinden: TOPÇAM-ORDU;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63" s="133" t="str">
        <x:v>Trafo merkezi koordinatı ile tamamlandı</x:v>
      </x:c>
      <x:c r="AC163" s="133" t="str">
        <x:v>Trafo merkezi / elektrik bağlantı noktası (yaklaşık)</x:v>
      </x:c>
      <x:c r="AD163" s="133" t="n">
        <x:v>1397</x:v>
      </x:c>
      <x:c r="AE163" s="133" t="str">
        <x:v>TOPÇAM HES</x:v>
      </x:c>
      <x:c r="AF163" s="133" t="str">
        <x:v>Ordu</x:v>
      </x:c>
      <x:c r="AG163" s="134" t="n">
        <x:v>40.656</x:v>
      </x:c>
      <x:c r="AH163" s="134" t="n">
        <x:v>37.796</x:v>
      </x:c>
      <x:c r="AI163" s="133" t="str">
        <x:v>Tam ad eşleşmesi</x:v>
      </x:c>
      <x:c r="AJ163" s="133" t="str">
        <x:v>Yüksek</x:v>
      </x:c>
      <x:c r="AK163" s="135"/>
      <x:c r="AL163" s="133" t="str">
        <x:v>Point</x:v>
      </x:c>
      <x:c r="AM163" s="133" t="str">
        <x:v>{"type": "Point", "coordinates": [37.796, 40.656]}</x:v>
      </x:c>
      <x:c r="AN163" s="133" t="str">
        <x:v>Trafo merkezi / elektrik bağlantı noktası (yaklaşık)</x:v>
      </x:c>
      <x:c r="AO163" s="133"/>
      <x:c r="AP163" s="133"/>
      <x:c r="AQ163" s="134"/>
      <x:c r="AR163" s="134"/>
      <x:c r="AS163" s="133"/>
      <x:c r="AT163" s="133" t="str">
        <x:v>https://cbs1.tarimorman.gov.tr/server/rest/services/TATUS/FeatureServer/7/query?where=HAVZA_ID%3D22+AND+%28BarajAdi%3D%27TOP%C3%87AM-ORDU%27+OR+BarajAdi%3D%27TOP%C3%87AM%27%29&amp;outFields=OBJECTID%2CBarajAdi%2CHavzaAdi%2CHAVZA_ID%2CIl&amp;returnGeometry=true&amp;outSR=4326&amp;f=geojson</x:v>
      </x:c>
      <x:c r="AU163" s="133"/>
      <x:c r="AV163" s="133" t="str">
        <x:v>Polyline / LineString</x:v>
      </x:c>
      <x:c r="AW163" s="133" t="str">
        <x:v>https://cbs1.tarimorman.gov.tr/server/rest/services/TATUS/FeatureServer/8/query?where=HAVZA_ID%3D22&amp;geometry=37.796000%2C40.656000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63" s="133" t="str">
        <x:v>TATUS spatial query hazır; en yakın/uygun LineString seçilmeli</x:v>
      </x:c>
      <x:c r="AY163" s="133" t="str">
        <x:v>Polygon</x:v>
      </x:c>
      <x:c r="AZ163" s="133" t="str">
        <x:v>https://cbs1.tarimorman.gov.tr/server/rest/services/TATUS/FeatureServer/9/query?where=1%3D1&amp;geometry=37.796000%2C40.656000&amp;geometryType=esriGeometryPoint&amp;inSR=4326&amp;spatialRel=esriSpatialRelIntersects&amp;outFields=%2A&amp;returnGeometry=true&amp;outSR=4326&amp;resultRecordCount=5&amp;f=geojson</x:v>
      </x:c>
      <x:c r="BA163" s="133" t="str">
        <x:v>Santral popup: Su alanını göster</x:v>
      </x:c>
      <x:c r="BB163" s="133" t="str">
        <x:v>Orta-Düşük</x:v>
      </x:c>
      <x:c r="BC163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64" ht="30" customHeight="1">
      <x:c r="A164" s="100" t="n">
        <x:v>161</x:v>
      </x:c>
      <x:c r="B164" s="32" t="str">
        <x:v>TORTUM HES</x:v>
      </x:c>
      <x:c r="C164" s="32" t="str">
        <x:v>Çoruh</x:v>
      </x:c>
      <x:c r="D164" s="32" t="str">
        <x:v>Çoruh</x:v>
      </x:c>
      <x:c r="E164" s="34" t="n">
        <x:v>23</x:v>
      </x:c>
      <x:c r="F164" s="32" t="str">
        <x:v>https://cbs1.tarimorman.gov.tr/server/rest/services/TATUS/FeatureServer/11/query?where=ID%3D23&amp;outFields=ID%2CHAVZA_ADI%2CALAN_KM2&amp;returnGeometry=true&amp;outSR=4326&amp;f=geojson</x:v>
      </x:c>
      <x:c r="G164" s="32" t="str">
        <x:v>TORTUM</x:v>
      </x:c>
      <x:c r="H164" s="32" t="str">
        <x:v>ERZURUM</x:v>
      </x:c>
      <x:c r="I164" s="36"/>
      <x:c r="J164" s="36"/>
      <x:c r="K164" s="38" t="n">
        <x:v>998.5</x:v>
      </x:c>
      <x:c r="L164" s="38" t="n">
        <x:v>989.8</x:v>
      </x:c>
      <x:c r="M164" s="32" t="str">
        <x:v>YUSUFELİ HES</x:v>
      </x:c>
      <x:c r="N164" s="38" t="n">
        <x:v>26.2</x:v>
      </x:c>
      <x:c r="O164" s="38"/>
      <x:c r="P164" s="38"/>
      <x:c r="Q164" s="38"/>
      <x:c r="R164" s="38"/>
      <x:c r="S164" s="38"/>
      <x:c r="T164" s="40"/>
      <x:c r="U164" s="32" t="str">
        <x:v>eşleşme yok</x:v>
      </x:c>
      <x:c r="V164" s="32" t="str">
        <x:v>C</x:v>
      </x:c>
      <x:c r="W164" s="32" t="str">
        <x:v>https://www.evrensel.net/haber/5986783/dicle-ve-firat-havzalari-cevre-tahribati-kusatmasinda-244-hes-ve-ges-faaliyette-yuzlercesi-proje-asamasinda</x:v>
      </x:c>
      <x:c r="X164" s="32" t="str">
        <x:v>https://www.evrensel.net/haber/5986783/dicle-ve-firat-havzalari-cevre-tahribati-kusatmasinda-244-hes-ve-ges-faaliyette-yuzlercesi-proje-asamasinda</x:v>
      </x:c>
      <x:c r="Y164" s="32"/>
      <x:c r="Z164" s="32" t="str">
        <x:v>YUSUFELİ HES</x:v>
      </x:c>
      <x:c r="AA164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  <x:c r="AB164" s="133" t="str">
        <x:v>Koordinat eksik</x:v>
      </x:c>
      <x:c r="AC164" s="133" t="str">
        <x:v>—</x:v>
      </x:c>
      <x:c r="AD164" s="133"/>
      <x:c r="AE164" s="133"/>
      <x:c r="AF164" s="133"/>
      <x:c r="AG164" s="134"/>
      <x:c r="AH164" s="134"/>
      <x:c r="AI164" s="133"/>
      <x:c r="AJ164" s="133"/>
      <x:c r="AK164" s="135"/>
      <x:c r="AL164" s="133" t="str">
        <x:v>Point</x:v>
      </x:c>
      <x:c r="AM164" s="133"/>
      <x:c r="AN164" s="133" t="str">
        <x:v>Koordinat yok</x:v>
      </x:c>
      <x:c r="AO164" s="133"/>
      <x:c r="AP164" s="133"/>
      <x:c r="AQ164" s="134"/>
      <x:c r="AR164" s="134"/>
      <x:c r="AS164" s="133"/>
      <x:c r="AT164" s="133" t="str">
        <x:v>https://cbs1.tarimorman.gov.tr/server/rest/services/TATUS/FeatureServer/7/query?where=HAVZA_ID%3D23+AND+%28BarajAdi%3D%27TORTUM%27%29&amp;outFields=OBJECTID%2CBarajAdi%2CHavzaAdi%2CHAVZA_ID%2CIl&amp;returnGeometry=true&amp;outSR=4326&amp;f=geojson</x:v>
      </x:c>
      <x:c r="AU164" s="133" t="str">
        <x:v>Çoruh</x:v>
      </x:c>
      <x:c r="AV164" s="133" t="str">
        <x:v>Polyline / LineString</x:v>
      </x:c>
      <x:c r="AW164" s="133"/>
      <x:c r="AX164" s="133" t="str">
        <x:v>Havza ana akarsuyu ön-eşleme; TATUS spatial query ile doğrulanmalı</x:v>
      </x:c>
      <x:c r="AY164" s="133" t="str">
        <x:v>Polygon</x:v>
      </x:c>
      <x:c r="AZ164" s="133"/>
      <x:c r="BA164" s="133" t="str">
        <x:v>Santral popup: Su alanını göster</x:v>
      </x:c>
      <x:c r="BB164" s="133" t="str">
        <x:v>Yok</x:v>
      </x:c>
      <x:c r="BC164" s="133" t="str">
        <x:v>TATUS baraj point doğrudan eşleşmesi bu çalışma kitabında çözülmedi; sorgu URL'si eklendi; Koordinat eksik olduğu için akarsu ve su toplama alanı spatial sorgusu üretilemedi</x:v>
      </x:c>
    </x:row>
    <x:row r="165" ht="30" customHeight="1">
      <x:c r="A165" s="100" t="n">
        <x:v>162</x:v>
      </x:c>
      <x:c r="B165" s="32" t="str">
        <x:v>TORUL HES</x:v>
      </x:c>
      <x:c r="C165" s="32" t="str">
        <x:v>Doğu Karadeniz</x:v>
      </x:c>
      <x:c r="D165" s="32" t="str">
        <x:v>Doğu Karadeniz</x:v>
      </x:c>
      <x:c r="E165" s="34" t="n">
        <x:v>22</x:v>
      </x:c>
      <x:c r="F165" s="32" t="str">
        <x:v>https://cbs1.tarimorman.gov.tr/server/rest/services/TATUS/FeatureServer/11/query?where=ID%3D22&amp;outFields=ID%2CHAVZA_ADI%2CALAN_KM2&amp;returnGeometry=true&amp;outSR=4326&amp;f=geojson</x:v>
      </x:c>
      <x:c r="G165" s="32" t="str">
        <x:v>TORUL</x:v>
      </x:c>
      <x:c r="H165" s="32" t="str">
        <x:v>GÜMÜŞHANE</x:v>
      </x:c>
      <x:c r="I165" s="36" t="n">
        <x:v>40.63538</x:v>
      </x:c>
      <x:c r="J165" s="36" t="n">
        <x:v>39.23144</x:v>
      </x:c>
      <x:c r="K165" s="38" t="n">
        <x:v>917</x:v>
      </x:c>
      <x:c r="L165" s="38" t="n">
        <x:v>890</x:v>
      </x:c>
      <x:c r="M165" s="32" t="str">
        <x:v>KÜRTÜN HES</x:v>
      </x:c>
      <x:c r="N165" s="38" t="n">
        <x:v>103.2</x:v>
      </x:c>
      <x:c r="O165" s="38" t="n">
        <x:v>44.5</x:v>
      </x:c>
      <x:c r="P165" s="38" t="n">
        <x:v>132.75</x:v>
      </x:c>
      <x:c r="Q165" s="38" t="n">
        <x:v>59.72</x:v>
      </x:c>
      <x:c r="R165" s="38" t="n">
        <x:v>0.82</x:v>
      </x:c>
      <x:c r="S165" s="38" t="n">
        <x:v>0.47</x:v>
      </x:c>
      <x:c r="T165" s="40" t="n">
        <x:v>46278.81434027778</x:v>
      </x:c>
      <x:c r="U165" s="32" t="str">
        <x:v>exact</x:v>
      </x:c>
      <x:c r="V165" s="32" t="str">
        <x:v>A</x:v>
      </x:c>
      <x:c r="W165" s="32" t="str">
        <x:v>Yüklü Debi_ve_Kurulu_Guc-13092026.xlsx</x:v>
      </x:c>
      <x:c r="X165" s="32" t="str">
        <x:v>Yüklü Debi_ve_Kurulu_Guc-13092026.xlsx</x:v>
      </x:c>
      <x:c r="Y165" s="32" t="str">
        <x:v>https://cbs1.tarimorman.gov.tr/server/rest/services/TATUS/FeatureServer/7</x:v>
      </x:c>
      <x:c r="Z165" s="32" t="str">
        <x:v>KÜRTÜN HES</x:v>
      </x:c>
      <x:c r="AA165" s="101"/>
      <x:c r="AB165" s="133" t="str">
        <x:v>Doğrulanmış koordinat mevcut</x:v>
      </x:c>
      <x:c r="AC165" s="133" t="str">
        <x:v>HES / baraj noktası</x:v>
      </x:c>
      <x:c r="AD165" s="133" t="n">
        <x:v>803</x:v>
      </x:c>
      <x:c r="AE165" s="133" t="str">
        <x:v>TORUL HES</x:v>
      </x:c>
      <x:c r="AF165" s="133" t="str">
        <x:v>Gümüşhane</x:v>
      </x:c>
      <x:c r="AG165" s="134" t="n">
        <x:v>40.645</x:v>
      </x:c>
      <x:c r="AH165" s="134" t="n">
        <x:v>39.186</x:v>
      </x:c>
      <x:c r="AI165" s="133" t="str">
        <x:v>Tam ad eşleşmesi</x:v>
      </x:c>
      <x:c r="AJ165" s="133" t="str">
        <x:v>Yüksek</x:v>
      </x:c>
      <x:c r="AK165" s="135" t="n">
        <x:v>3.98</x:v>
      </x:c>
      <x:c r="AL165" s="133" t="str">
        <x:v>Point</x:v>
      </x:c>
      <x:c r="AM165" s="133" t="str">
        <x:v>{"type": "Point", "coordinates": [39.23144, 40.63538]}</x:v>
      </x:c>
      <x:c r="AN165" s="133" t="str">
        <x:v>TATUS Baraj Gözlem Point</x:v>
      </x:c>
      <x:c r="AO165" s="133" t="str">
        <x:v>TORUL</x:v>
      </x:c>
      <x:c r="AP165" s="133" t="n">
        <x:v>1</x:v>
      </x:c>
      <x:c r="AQ165" s="134" t="n">
        <x:v>40.63538</x:v>
      </x:c>
      <x:c r="AR165" s="134" t="n">
        <x:v>39.23144</x:v>
      </x:c>
      <x:c r="AS165" s="133" t="str">
        <x:v>{"type": "Point", "coordinates": [39.23144, 40.63538]}</x:v>
      </x:c>
      <x:c r="AT165" s="133" t="str">
        <x:v>https://cbs1.tarimorman.gov.tr/server/rest/services/TATUS/FeatureServer/7/query?where=HAVZA_ID%3D22+AND+%28BarajAdi%3D%27TORUL%27%29&amp;outFields=OBJECTID%2CBarajAdi%2CHavzaAdi%2CHAVZA_ID%2CIl&amp;returnGeometry=true&amp;outSR=4326&amp;f=geojson</x:v>
      </x:c>
      <x:c r="AU165" s="133"/>
      <x:c r="AV165" s="133" t="str">
        <x:v>Polyline / LineString</x:v>
      </x:c>
      <x:c r="AW165" s="133" t="str">
        <x:v>https://cbs1.tarimorman.gov.tr/server/rest/services/TATUS/FeatureServer/8/query?where=HAVZA_ID%3D22&amp;geometry=39.231440%2C40.635380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65" s="133" t="str">
        <x:v>TATUS spatial query hazır; en yakın/uygun LineString seçilmeli</x:v>
      </x:c>
      <x:c r="AY165" s="133" t="str">
        <x:v>Polygon</x:v>
      </x:c>
      <x:c r="AZ165" s="133" t="str">
        <x:v>https://cbs1.tarimorman.gov.tr/server/rest/services/TATUS/FeatureServer/9/query?where=1%3D1&amp;geometry=39.231440%2C40.635380&amp;geometryType=esriGeometryPoint&amp;inSR=4326&amp;spatialRel=esriSpatialRelIntersects&amp;outFields=%2A&amp;returnGeometry=true&amp;outSR=4326&amp;resultRecordCount=5&amp;f=geojson</x:v>
      </x:c>
      <x:c r="BA165" s="133" t="str">
        <x:v>Santral popup: Su alanını göster</x:v>
      </x:c>
      <x:c r="BB165" s="133" t="str">
        <x:v>Yüksek</x:v>
      </x:c>
      <x:c r="BC165" s="133"/>
    </x:row>
    <x:row r="166" ht="30" customHeight="1">
      <x:c r="A166" s="100" t="n">
        <x:v>163</x:v>
      </x:c>
      <x:c r="B166" s="32" t="str">
        <x:v>TUNA HES</x:v>
      </x:c>
      <x:c r="C166" s="32" t="str">
        <x:v>Yeşilırmak</x:v>
      </x:c>
      <x:c r="D166" s="32" t="str">
        <x:v>Yeşilırmak</x:v>
      </x:c>
      <x:c r="E166" s="34" t="n">
        <x:v>14</x:v>
      </x:c>
      <x:c r="F166" s="32" t="str">
        <x:v>https://cbs1.tarimorman.gov.tr/server/rest/services/TATUS/FeatureServer/11/query?where=ID%3D14&amp;outFields=ID%2CHAVZA_ADI%2CALAN_KM2&amp;returnGeometry=true&amp;outSR=4326&amp;f=geojson</x:v>
      </x:c>
      <x:c r="G166" s="32" t="str">
        <x:v>TUNA</x:v>
      </x:c>
      <x:c r="H166" s="32" t="str">
        <x:v>TOKAT</x:v>
      </x:c>
      <x:c r="I166" s="36" t="n">
        <x:v>40.372</x:v>
      </x:c>
      <x:c r="J166" s="36" t="n">
        <x:v>37.401</x:v>
      </x:c>
      <x:c r="K166" s="38" t="n">
        <x:v>1033.7</x:v>
      </x:c>
      <x:c r="L166" s="38" t="n">
        <x:v>1023</x:v>
      </x:c>
      <x:c r="M166" s="32"/>
      <x:c r="N166" s="38" t="n">
        <x:v>37.19</x:v>
      </x:c>
      <x:c r="O166" s="38"/>
      <x:c r="P166" s="38"/>
      <x:c r="Q166" s="38"/>
      <x:c r="R166" s="38"/>
      <x:c r="S166" s="38"/>
      <x:c r="T166" s="40"/>
      <x:c r="U166" s="32" t="str">
        <x:v>eşleşme yok</x:v>
      </x:c>
      <x:c r="V166" s="32" t="str">
        <x:v>C</x:v>
      </x:c>
      <x:c r="W166" s="32" t="str">
        <x:v>https://www.enerturk.com/RHG_SR_2022_TR_18.pdf</x:v>
      </x:c>
      <x:c r="X166" s="32" t="str">
        <x:v>https://openinframap.org/stats/area/Turkey/plants?source=hydro</x:v>
      </x:c>
      <x:c r="Y166" s="32" t="str">
        <x:v>hes_MERKEZI_LISTESI.xlsx — trafo merkezi koordinatı (yaklaşık)</x:v>
      </x:c>
      <x:c r="Z166" s="32" t="str">
        <x:v>10</x:v>
      </x:c>
      <x:c r="AA166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66" s="133" t="str">
        <x:v>Trafo merkezi koordinatı ile tamamlandı</x:v>
      </x:c>
      <x:c r="AC166" s="133" t="str">
        <x:v>Trafo merkezi / elektrik bağlantı noktası (yaklaşık)</x:v>
      </x:c>
      <x:c r="AD166" s="133" t="n">
        <x:v>820</x:v>
      </x:c>
      <x:c r="AE166" s="133" t="str">
        <x:v>TUNA HES</x:v>
      </x:c>
      <x:c r="AF166" s="133" t="str">
        <x:v>Tokat</x:v>
      </x:c>
      <x:c r="AG166" s="134" t="n">
        <x:v>40.372</x:v>
      </x:c>
      <x:c r="AH166" s="134" t="n">
        <x:v>37.401</x:v>
      </x:c>
      <x:c r="AI166" s="133" t="str">
        <x:v>Tam ad eşleşmesi</x:v>
      </x:c>
      <x:c r="AJ166" s="133" t="str">
        <x:v>Yüksek</x:v>
      </x:c>
      <x:c r="AK166" s="135"/>
      <x:c r="AL166" s="133" t="str">
        <x:v>Point</x:v>
      </x:c>
      <x:c r="AM166" s="133" t="str">
        <x:v>{"type": "Point", "coordinates": [37.401, 40.372]}</x:v>
      </x:c>
      <x:c r="AN166" s="133" t="str">
        <x:v>Trafo merkezi / elektrik bağlantı noktası (yaklaşık)</x:v>
      </x:c>
      <x:c r="AO166" s="133"/>
      <x:c r="AP166" s="133"/>
      <x:c r="AQ166" s="134"/>
      <x:c r="AR166" s="134"/>
      <x:c r="AS166" s="133"/>
      <x:c r="AT166" s="133" t="str">
        <x:v>https://cbs1.tarimorman.gov.tr/server/rest/services/TATUS/FeatureServer/7/query?where=HAVZA_ID%3D14+AND+%28BarajAdi%3D%27TUNA%27%29&amp;outFields=OBJECTID%2CBarajAdi%2CHavzaAdi%2CHAVZA_ID%2CIl&amp;returnGeometry=true&amp;outSR=4326&amp;f=geojson</x:v>
      </x:c>
      <x:c r="AU166" s="133" t="str">
        <x:v>Yeşilırmak</x:v>
      </x:c>
      <x:c r="AV166" s="133" t="str">
        <x:v>Polyline / LineString</x:v>
      </x:c>
      <x:c r="AW166" s="133" t="str">
        <x:v>https://cbs1.tarimorman.gov.tr/server/rest/services/TATUS/FeatureServer/8/query?where=HAVZA_ID%3D14&amp;geometry=37.401000%2C40.372000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66" s="133" t="str">
        <x:v>Havza ana akarsuyu ön-eşleme; TATUS spatial query ile doğrulanmalı</x:v>
      </x:c>
      <x:c r="AY166" s="133" t="str">
        <x:v>Polygon</x:v>
      </x:c>
      <x:c r="AZ166" s="133" t="str">
        <x:v>https://cbs1.tarimorman.gov.tr/server/rest/services/TATUS/FeatureServer/9/query?where=1%3D1&amp;geometry=37.401000%2C40.372000&amp;geometryType=esriGeometryPoint&amp;inSR=4326&amp;spatialRel=esriSpatialRelIntersects&amp;outFields=%2A&amp;returnGeometry=true&amp;outSR=4326&amp;resultRecordCount=5&amp;f=geojson</x:v>
      </x:c>
      <x:c r="BA166" s="133" t="str">
        <x:v>Santral popup: Su alanını göster</x:v>
      </x:c>
      <x:c r="BB166" s="133" t="str">
        <x:v>Orta-Düşük</x:v>
      </x:c>
      <x:c r="BC166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67" ht="30" customHeight="1">
      <x:c r="A167" s="100" t="n">
        <x:v>164</x:v>
      </x:c>
      <x:c r="B167" s="32" t="str">
        <x:v>ULUABAT HES</x:v>
      </x:c>
      <x:c r="C167" s="32" t="str">
        <x:v>Susurluk</x:v>
      </x:c>
      <x:c r="D167" s="32" t="str">
        <x:v>Susurluk</x:v>
      </x:c>
      <x:c r="E167" s="34" t="n">
        <x:v>3</x:v>
      </x:c>
      <x:c r="F167" s="32" t="str">
        <x:v>https://cbs1.tarimorman.gov.tr/server/rest/services/TATUS/FeatureServer/11/query?where=ID%3D3&amp;outFields=ID%2CHAVZA_ADI%2CALAN_KM2&amp;returnGeometry=true&amp;outSR=4326&amp;f=geojson</x:v>
      </x:c>
      <x:c r="G167" s="32" t="str">
        <x:v>ÇINARCIK</x:v>
      </x:c>
      <x:c r="H167" s="32" t="str">
        <x:v>BURSA</x:v>
      </x:c>
      <x:c r="I167" s="36" t="n">
        <x:v>40.153</x:v>
      </x:c>
      <x:c r="J167" s="36" t="n">
        <x:v>28.725</x:v>
      </x:c>
      <x:c r="K167" s="38" t="n">
        <x:v>330</x:v>
      </x:c>
      <x:c r="L167" s="38" t="n">
        <x:v>304.7</x:v>
      </x:c>
      <x:c r="M167" s="32"/>
      <x:c r="N167" s="38" t="n">
        <x:v>100</x:v>
      </x:c>
      <x:c r="O167" s="38" t="n">
        <x:v>38</x:v>
      </x:c>
      <x:c r="P167" s="38" t="n">
        <x:v>372.94</x:v>
      </x:c>
      <x:c r="Q167" s="38" t="n">
        <x:v>186.15</x:v>
      </x:c>
      <x:c r="R167" s="38" t="n">
        <x:v>75.07</x:v>
      </x:c>
      <x:c r="S167" s="38" t="n">
        <x:v>58.74</x:v>
      </x:c>
      <x:c r="T167" s="40" t="n">
        <x:v>46278.81434027778</x:v>
      </x:c>
      <x:c r="U167" s="32" t="str">
        <x:v>alias</x:v>
      </x:c>
      <x:c r="V167" s="32" t="str">
        <x:v>B</x:v>
      </x:c>
      <x:c r="W167" s="32" t="str">
        <x:v>Yüklü Debi_ve_Kurulu_Guc-13092026.xlsx</x:v>
      </x:c>
      <x:c r="X167" s="32" t="str">
        <x:v>Yüklü Debi_ve_Kurulu_Guc-13092026.xlsx</x:v>
      </x:c>
      <x:c r="Y167" s="32" t="str">
        <x:v>hes_MERKEZI_LISTESI.xlsx — trafo merkezi koordinatı (yaklaşık)</x:v>
      </x:c>
      <x:c r="Z167" s="32" t="str">
        <x:v>10</x:v>
      </x:c>
      <x:c r="AA167" s="101" t="str">
        <x:v>Baraj adı eşleşmesi: ÇINARCIK;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67" s="133" t="str">
        <x:v>Trafo merkezi koordinatı ile tamamlandı</x:v>
      </x:c>
      <x:c r="AC167" s="133" t="str">
        <x:v>Trafo merkezi / elektrik bağlantı noktası (yaklaşık)</x:v>
      </x:c>
      <x:c r="AD167" s="133" t="n">
        <x:v>304</x:v>
      </x:c>
      <x:c r="AE167" s="133" t="str">
        <x:v>ULUABAT HES</x:v>
      </x:c>
      <x:c r="AF167" s="133" t="str">
        <x:v>Bursa</x:v>
      </x:c>
      <x:c r="AG167" s="134" t="n">
        <x:v>40.153</x:v>
      </x:c>
      <x:c r="AH167" s="134" t="n">
        <x:v>28.725</x:v>
      </x:c>
      <x:c r="AI167" s="133" t="str">
        <x:v>Tam ad eşleşmesi</x:v>
      </x:c>
      <x:c r="AJ167" s="133" t="str">
        <x:v>Yüksek</x:v>
      </x:c>
      <x:c r="AK167" s="135"/>
      <x:c r="AL167" s="133" t="str">
        <x:v>Point</x:v>
      </x:c>
      <x:c r="AM167" s="133" t="str">
        <x:v>{"type": "Point", "coordinates": [28.725, 40.153]}</x:v>
      </x:c>
      <x:c r="AN167" s="133" t="str">
        <x:v>Trafo merkezi / elektrik bağlantı noktası (yaklaşık)</x:v>
      </x:c>
      <x:c r="AO167" s="133"/>
      <x:c r="AP167" s="133"/>
      <x:c r="AQ167" s="134"/>
      <x:c r="AR167" s="134"/>
      <x:c r="AS167" s="133"/>
      <x:c r="AT167" s="133" t="str">
        <x:v>https://cbs1.tarimorman.gov.tr/server/rest/services/TATUS/FeatureServer/7/query?where=HAVZA_ID%3D3+AND+%28BarajAdi%3D%27%C3%87INARCIK%27+OR+BarajAdi%3D%27ULUABAT%27%29&amp;outFields=OBJECTID%2CBarajAdi%2CHavzaAdi%2CHAVZA_ID%2CIl&amp;returnGeometry=true&amp;outSR=4326&amp;f=geojson</x:v>
      </x:c>
      <x:c r="AU167" s="133" t="str">
        <x:v>Susurluk</x:v>
      </x:c>
      <x:c r="AV167" s="133" t="str">
        <x:v>Polyline / LineString</x:v>
      </x:c>
      <x:c r="AW167" s="133" t="str">
        <x:v>https://cbs1.tarimorman.gov.tr/server/rest/services/TATUS/FeatureServer/8/query?where=HAVZA_ID%3D3&amp;geometry=28.725000%2C40.153000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67" s="133" t="str">
        <x:v>Havza ana akarsuyu ön-eşleme; TATUS spatial query ile doğrulanmalı</x:v>
      </x:c>
      <x:c r="AY167" s="133" t="str">
        <x:v>Polygon</x:v>
      </x:c>
      <x:c r="AZ167" s="133" t="str">
        <x:v>https://cbs1.tarimorman.gov.tr/server/rest/services/TATUS/FeatureServer/9/query?where=1%3D1&amp;geometry=28.725000%2C40.153000&amp;geometryType=esriGeometryPoint&amp;inSR=4326&amp;spatialRel=esriSpatialRelIntersects&amp;outFields=%2A&amp;returnGeometry=true&amp;outSR=4326&amp;resultRecordCount=5&amp;f=geojson</x:v>
      </x:c>
      <x:c r="BA167" s="133" t="str">
        <x:v>Santral popup: Su alanını göster</x:v>
      </x:c>
      <x:c r="BB167" s="133" t="str">
        <x:v>Orta-Düşük</x:v>
      </x:c>
      <x:c r="BC16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68" ht="30" customHeight="1">
      <x:c r="A168" s="100" t="n">
        <x:v>165</x:v>
      </x:c>
      <x:c r="B168" s="32" t="str">
        <x:v>ULUDERE BARAJI VE HES</x:v>
      </x:c>
      <x:c r="C168" s="32" t="str">
        <x:v>Fırat Dicle</x:v>
      </x:c>
      <x:c r="D168" s="32" t="str">
        <x:v>Fırat-Dicle</x:v>
      </x:c>
      <x:c r="E168" s="34" t="n">
        <x:v>21</x:v>
      </x:c>
      <x:c r="F168" s="32" t="str">
        <x:v>https://cbs1.tarimorman.gov.tr/server/rest/services/TATUS/FeatureServer/11/query?where=ID%3D21&amp;outFields=ID%2CHAVZA_ADI%2CALAN_KM2&amp;returnGeometry=true&amp;outSR=4326&amp;f=geojson</x:v>
      </x:c>
      <x:c r="G168" s="32" t="str">
        <x:v>ULUDERE BARAJI VE</x:v>
      </x:c>
      <x:c r="H168" s="32" t="str">
        <x:v>ŞIRNAK</x:v>
      </x:c>
      <x:c r="I168" s="36"/>
      <x:c r="J168" s="36"/>
      <x:c r="K168" s="38" t="n">
        <x:v>908.49</x:v>
      </x:c>
      <x:c r="L168" s="38" t="n">
        <x:v>870.5</x:v>
      </x:c>
      <x:c r="M168" s="32" t="str">
        <x:v>ŞIRNAK HES</x:v>
      </x:c>
      <x:c r="N168" s="38" t="n">
        <x:v>3.43</x:v>
      </x:c>
      <x:c r="O168" s="38"/>
      <x:c r="P168" s="38"/>
      <x:c r="Q168" s="38"/>
      <x:c r="R168" s="38"/>
      <x:c r="S168" s="38"/>
      <x:c r="T168" s="40"/>
      <x:c r="U168" s="32" t="str">
        <x:v>eşleşme yok</x:v>
      </x:c>
      <x:c r="V168" s="32" t="str">
        <x:v>C</x:v>
      </x:c>
      <x:c r="W168" s="32" t="str">
        <x:v>https://webdosya.csb.gov.tr/db/ced/icerikler/sirnak_-cdr2023-20240705110218.pdf</x:v>
      </x:c>
      <x:c r="X168" s="32" t="str">
        <x:v>https://webdosya.csb.gov.tr/db/ced/icerikler/sirnak_-cdr2023-20240705110218.pdf</x:v>
      </x:c>
      <x:c r="Y168" s="32"/>
      <x:c r="Z168" s="32" t="str">
        <x:v>ŞIRNAK HES</x:v>
      </x:c>
      <x:c r="AA168" s="101" t="str">
        <x:v>EPİAŞ su göstergesi eşleşmesi bulunamadı; Koordinat güvenilir açık kaynaktan doğrulanamadı; Kurulu güç bulunamadı; Eksik kurulu güç/il bilgisi kamuya açık web kaynağıyla tamamlandı; Kurulu güç kamu kaynağıyla doğrulandı; Ünite debisi doğrulanamadı; Maksimum/minimum hacim doğrulanamadı</x:v>
      </x:c>
      <x:c r="AB168" s="133" t="str">
        <x:v>Koordinat eksik</x:v>
      </x:c>
      <x:c r="AC168" s="133" t="str">
        <x:v>—</x:v>
      </x:c>
      <x:c r="AD168" s="133"/>
      <x:c r="AE168" s="133"/>
      <x:c r="AF168" s="133"/>
      <x:c r="AG168" s="134"/>
      <x:c r="AH168" s="134"/>
      <x:c r="AI168" s="133"/>
      <x:c r="AJ168" s="133"/>
      <x:c r="AK168" s="135"/>
      <x:c r="AL168" s="133" t="str">
        <x:v>Point</x:v>
      </x:c>
      <x:c r="AM168" s="133"/>
      <x:c r="AN168" s="133" t="str">
        <x:v>Koordinat yok</x:v>
      </x:c>
      <x:c r="AO168" s="133"/>
      <x:c r="AP168" s="133"/>
      <x:c r="AQ168" s="134"/>
      <x:c r="AR168" s="134"/>
      <x:c r="AS168" s="133"/>
      <x:c r="AT168" s="133" t="str">
        <x:v>https://cbs1.tarimorman.gov.tr/server/rest/services/TATUS/FeatureServer/7/query?where=HAVZA_ID%3D21+AND+%28BarajAdi%3D%27ULUDERE+BARAJI+VE%27+OR+BarajAdi%3D%27ULUDERE%27%29&amp;outFields=OBJECTID%2CBarajAdi%2CHavzaAdi%2CHAVZA_ID%2CIl&amp;returnGeometry=true&amp;outSR=4326&amp;f=geojson</x:v>
      </x:c>
      <x:c r="AU168" s="133"/>
      <x:c r="AV168" s="133" t="str">
        <x:v>Polyline / LineString</x:v>
      </x:c>
      <x:c r="AW168" s="133"/>
      <x:c r="AX168" s="133" t="str">
        <x:v>Koordinat yok; spatial eşleme yapılamadı</x:v>
      </x:c>
      <x:c r="AY168" s="133" t="str">
        <x:v>Polygon</x:v>
      </x:c>
      <x:c r="AZ168" s="133"/>
      <x:c r="BA168" s="133" t="str">
        <x:v>Santral popup: Su alanını göster</x:v>
      </x:c>
      <x:c r="BB168" s="133" t="str">
        <x:v>Yok</x:v>
      </x:c>
      <x:c r="BC168" s="133" t="str">
        <x:v>TATUS baraj point doğrudan eşleşmesi bu çalışma kitabında çözülmedi; sorgu URL'si eklendi; Fırat-Dicle havzasında nehir adı havzadan türetilmedi; yanlış Fırat/Dicle eşleşmesini önlemek için spatial doğrulama gerekli; Koordinat eksik olduğu için akarsu ve su toplama alanı spatial sorgusu üretilemedi</x:v>
      </x:c>
    </x:row>
    <x:row r="169" ht="30" customHeight="1">
      <x:c r="A169" s="100" t="n">
        <x:v>166</x:v>
      </x:c>
      <x:c r="B169" s="32" t="str">
        <x:v>UMUT HES</x:v>
      </x:c>
      <x:c r="C169" s="32" t="str">
        <x:v>Yeşilırmak</x:v>
      </x:c>
      <x:c r="D169" s="32" t="str">
        <x:v>Yeşilırmak</x:v>
      </x:c>
      <x:c r="E169" s="34" t="n">
        <x:v>14</x:v>
      </x:c>
      <x:c r="F169" s="32" t="str">
        <x:v>https://cbs1.tarimorman.gov.tr/server/rest/services/TATUS/FeatureServer/11/query?where=ID%3D14&amp;outFields=ID%2CHAVZA_ADI%2CALAN_KM2&amp;returnGeometry=true&amp;outSR=4326&amp;f=geojson</x:v>
      </x:c>
      <x:c r="G169" s="32" t="str">
        <x:v>UMUT I BARAJI</x:v>
      </x:c>
      <x:c r="H169" s="32" t="str">
        <x:v>ORDU</x:v>
      </x:c>
      <x:c r="I169" s="36" t="n">
        <x:v>40.734</x:v>
      </x:c>
      <x:c r="J169" s="36" t="n">
        <x:v>36.929</x:v>
      </x:c>
      <x:c r="K169" s="38" t="n">
        <x:v>1014</x:v>
      </x:c>
      <x:c r="L169" s="38" t="n">
        <x:v>995</x:v>
      </x:c>
      <x:c r="M169" s="32"/>
      <x:c r="N169" s="38" t="n">
        <x:v>10</x:v>
      </x:c>
      <x:c r="O169" s="38" t="n">
        <x:v>8</x:v>
      </x:c>
      <x:c r="P169" s="38" t="n">
        <x:v>16.69</x:v>
      </x:c>
      <x:c r="Q169" s="38" t="n">
        <x:v>4.33</x:v>
      </x:c>
      <x:c r="R169" s="38"/>
      <x:c r="S169" s="38"/>
      <x:c r="T169" s="40" t="n">
        <x:v>46278.81434027778</x:v>
      </x:c>
      <x:c r="U169" s="32" t="str">
        <x:v>water-level</x:v>
      </x:c>
      <x:c r="V169" s="32" t="str">
        <x:v>B</x:v>
      </x:c>
      <x:c r="W169" s="32" t="str">
        <x:v>Yüklü Debi_ve_Kurulu_Guc-13092026.xlsx</x:v>
      </x:c>
      <x:c r="X169" s="32" t="str">
        <x:v>Yüklü Debi_ve_Kurulu_Guc-13092026.xlsx</x:v>
      </x:c>
      <x:c r="Y169" s="32" t="str">
        <x:v>hes_MERKEZI_LISTESI.xlsx — trafo merkezi koordinatı (yaklaşık)</x:v>
      </x:c>
      <x:c r="Z169" s="32" t="str">
        <x:v>10</x:v>
      </x:c>
      <x:c r="AA169" s="101" t="str">
        <x:v>Baraj eşleşmesi max/min kot üzerinden: UMUT I BARAJI;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69" s="133" t="str">
        <x:v>Trafo merkezi koordinatı ile tamamlandı</x:v>
      </x:c>
      <x:c r="AC169" s="133" t="str">
        <x:v>Trafo merkezi / elektrik bağlantı noktası (yaklaşık)</x:v>
      </x:c>
      <x:c r="AD169" s="133" t="n">
        <x:v>817</x:v>
      </x:c>
      <x:c r="AE169" s="133" t="str">
        <x:v>UMUT HES</x:v>
      </x:c>
      <x:c r="AF169" s="133" t="str">
        <x:v>Ordu</x:v>
      </x:c>
      <x:c r="AG169" s="134" t="n">
        <x:v>40.734</x:v>
      </x:c>
      <x:c r="AH169" s="134" t="n">
        <x:v>36.929</x:v>
      </x:c>
      <x:c r="AI169" s="133" t="str">
        <x:v>Tam ad eşleşmesi</x:v>
      </x:c>
      <x:c r="AJ169" s="133" t="str">
        <x:v>Yüksek</x:v>
      </x:c>
      <x:c r="AK169" s="135"/>
      <x:c r="AL169" s="133" t="str">
        <x:v>Point</x:v>
      </x:c>
      <x:c r="AM169" s="133" t="str">
        <x:v>{"type": "Point", "coordinates": [36.929, 40.734]}</x:v>
      </x:c>
      <x:c r="AN169" s="133" t="str">
        <x:v>Trafo merkezi / elektrik bağlantı noktası (yaklaşık)</x:v>
      </x:c>
      <x:c r="AO169" s="133"/>
      <x:c r="AP169" s="133"/>
      <x:c r="AQ169" s="134"/>
      <x:c r="AR169" s="134"/>
      <x:c r="AS169" s="133"/>
      <x:c r="AT169" s="133" t="str">
        <x:v>https://cbs1.tarimorman.gov.tr/server/rest/services/TATUS/FeatureServer/7/query?where=HAVZA_ID%3D14+AND+%28BarajAdi%3D%27UMUT+I+BARAJI%27+OR+BarajAdi%3D%27UMUT%27%29&amp;outFields=OBJECTID%2CBarajAdi%2CHavzaAdi%2CHAVZA_ID%2CIl&amp;returnGeometry=true&amp;outSR=4326&amp;f=geojson</x:v>
      </x:c>
      <x:c r="AU169" s="133" t="str">
        <x:v>Yeşilırmak</x:v>
      </x:c>
      <x:c r="AV169" s="133" t="str">
        <x:v>Polyline / LineString</x:v>
      </x:c>
      <x:c r="AW169" s="133" t="str">
        <x:v>https://cbs1.tarimorman.gov.tr/server/rest/services/TATUS/FeatureServer/8/query?where=HAVZA_ID%3D14&amp;geometry=36.929000%2C40.734000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69" s="133" t="str">
        <x:v>Havza ana akarsuyu ön-eşleme; TATUS spatial query ile doğrulanmalı</x:v>
      </x:c>
      <x:c r="AY169" s="133" t="str">
        <x:v>Polygon</x:v>
      </x:c>
      <x:c r="AZ169" s="133" t="str">
        <x:v>https://cbs1.tarimorman.gov.tr/server/rest/services/TATUS/FeatureServer/9/query?where=1%3D1&amp;geometry=36.929000%2C40.734000&amp;geometryType=esriGeometryPoint&amp;inSR=4326&amp;spatialRel=esriSpatialRelIntersects&amp;outFields=%2A&amp;returnGeometry=true&amp;outSR=4326&amp;resultRecordCount=5&amp;f=geojson</x:v>
      </x:c>
      <x:c r="BA169" s="133" t="str">
        <x:v>Santral popup: Su alanını göster</x:v>
      </x:c>
      <x:c r="BB169" s="133" t="str">
        <x:v>Orta-Düşük</x:v>
      </x:c>
      <x:c r="BC169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70" ht="30" customHeight="1">
      <x:c r="A170" s="100" t="n">
        <x:v>167</x:v>
      </x:c>
      <x:c r="B170" s="32" t="str">
        <x:v>UZUNÇAYIR HES</x:v>
      </x:c>
      <x:c r="C170" s="32" t="str">
        <x:v>Fırat Dicle</x:v>
      </x:c>
      <x:c r="D170" s="32" t="str">
        <x:v>Fırat-Dicle</x:v>
      </x:c>
      <x:c r="E170" s="34" t="n">
        <x:v>21</x:v>
      </x:c>
      <x:c r="F170" s="32" t="str">
        <x:v>https://cbs1.tarimorman.gov.tr/server/rest/services/TATUS/FeatureServer/11/query?where=ID%3D21&amp;outFields=ID%2CHAVZA_ADI%2CALAN_KM2&amp;returnGeometry=true&amp;outSR=4326&amp;f=geojson</x:v>
      </x:c>
      <x:c r="G170" s="32" t="str">
        <x:v>UZUNÇAYIR</x:v>
      </x:c>
      <x:c r="H170" s="32" t="str">
        <x:v>TUNCELİ</x:v>
      </x:c>
      <x:c r="I170" s="36" t="n">
        <x:v>38.982</x:v>
      </x:c>
      <x:c r="J170" s="36" t="n">
        <x:v>39.532</x:v>
      </x:c>
      <x:c r="K170" s="38" t="n">
        <x:v>900</x:v>
      </x:c>
      <x:c r="L170" s="38" t="n">
        <x:v>885</x:v>
      </x:c>
      <x:c r="M170" s="32" t="str">
        <x:v>KEBAN HES</x:v>
      </x:c>
      <x:c r="N170" s="38" t="n">
        <x:v>82</x:v>
      </x:c>
      <x:c r="O170" s="38"/>
      <x:c r="P170" s="38"/>
      <x:c r="Q170" s="38"/>
      <x:c r="R170" s="38"/>
      <x:c r="S170" s="38"/>
      <x:c r="T170" s="40"/>
      <x:c r="U170" s="32" t="str">
        <x:v>eşleşme yok</x:v>
      </x:c>
      <x:c r="V170" s="32" t="str">
        <x:v>C</x:v>
      </x:c>
      <x:c r="W170" s="32" t="str">
        <x:v>https://www.enerjiatlasi.com/hidroelektrik/?v=1.0.24</x:v>
      </x:c>
      <x:c r="X170" s="32" t="str">
        <x:v>https://openinframap.org/stats/area/Turkey/plants?source=hydro</x:v>
      </x:c>
      <x:c r="Y170" s="32" t="str">
        <x:v>hes_MERKEZI_LISTESI.xlsx — trafo merkezi koordinatı (yaklaşık)</x:v>
      </x:c>
      <x:c r="Z170" s="32" t="str">
        <x:v>KEBAN HES</x:v>
      </x:c>
      <x:c r="AA170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70" s="133" t="str">
        <x:v>Trafo merkezi koordinatı ile tamamlandı</x:v>
      </x:c>
      <x:c r="AC170" s="133" t="str">
        <x:v>Trafo merkezi / elektrik bağlantı noktası (yaklaşık)</x:v>
      </x:c>
      <x:c r="AD170" s="133" t="n">
        <x:v>590</x:v>
      </x:c>
      <x:c r="AE170" s="133" t="str">
        <x:v>UZUNÇAYIR HES</x:v>
      </x:c>
      <x:c r="AF170" s="133" t="str">
        <x:v>Tunceli</x:v>
      </x:c>
      <x:c r="AG170" s="134" t="n">
        <x:v>38.982</x:v>
      </x:c>
      <x:c r="AH170" s="134" t="n">
        <x:v>39.532</x:v>
      </x:c>
      <x:c r="AI170" s="133" t="str">
        <x:v>Tam ad eşleşmesi</x:v>
      </x:c>
      <x:c r="AJ170" s="133" t="str">
        <x:v>Yüksek</x:v>
      </x:c>
      <x:c r="AK170" s="135"/>
      <x:c r="AL170" s="133" t="str">
        <x:v>Point</x:v>
      </x:c>
      <x:c r="AM170" s="133" t="str">
        <x:v>{"type": "Point", "coordinates": [39.532, 38.982]}</x:v>
      </x:c>
      <x:c r="AN170" s="133" t="str">
        <x:v>Trafo merkezi / elektrik bağlantı noktası (yaklaşık)</x:v>
      </x:c>
      <x:c r="AO170" s="133"/>
      <x:c r="AP170" s="133"/>
      <x:c r="AQ170" s="134"/>
      <x:c r="AR170" s="134"/>
      <x:c r="AS170" s="133"/>
      <x:c r="AT170" s="133" t="str">
        <x:v>https://cbs1.tarimorman.gov.tr/server/rest/services/TATUS/FeatureServer/7/query?where=HAVZA_ID%3D21+AND+%28BarajAdi%3D%27UZUN%C3%87AYIR%27%29&amp;outFields=OBJECTID%2CBarajAdi%2CHavzaAdi%2CHAVZA_ID%2CIl&amp;returnGeometry=true&amp;outSR=4326&amp;f=geojson</x:v>
      </x:c>
      <x:c r="AU170" s="133"/>
      <x:c r="AV170" s="133" t="str">
        <x:v>Polyline / LineString</x:v>
      </x:c>
      <x:c r="AW170" s="133" t="str">
        <x:v>https://cbs1.tarimorman.gov.tr/server/rest/services/TATUS/FeatureServer/8/query?where=HAVZA_ID%3D21&amp;geometry=39.532000%2C38.982000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0" s="133" t="str">
        <x:v>TATUS spatial query hazır; en yakın/uygun LineString seçilmeli</x:v>
      </x:c>
      <x:c r="AY170" s="133" t="str">
        <x:v>Polygon</x:v>
      </x:c>
      <x:c r="AZ170" s="133" t="str">
        <x:v>https://cbs1.tarimorman.gov.tr/server/rest/services/TATUS/FeatureServer/9/query?where=1%3D1&amp;geometry=39.532000%2C38.982000&amp;geometryType=esriGeometryPoint&amp;inSR=4326&amp;spatialRel=esriSpatialRelIntersects&amp;outFields=%2A&amp;returnGeometry=true&amp;outSR=4326&amp;resultRecordCount=5&amp;f=geojson</x:v>
      </x:c>
      <x:c r="BA170" s="133" t="str">
        <x:v>Santral popup: Su alanını göster</x:v>
      </x:c>
      <x:c r="BB170" s="133" t="str">
        <x:v>Orta-Düşük</x:v>
      </x:c>
      <x:c r="BC170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71" ht="30" customHeight="1">
      <x:c r="A171" s="100" t="n">
        <x:v>168</x:v>
      </x:c>
      <x:c r="B171" s="32" t="str">
        <x:v>UZUNDERE1 HES</x:v>
      </x:c>
      <x:c r="C171" s="32" t="str">
        <x:v>Doğu Karadeniz</x:v>
      </x:c>
      <x:c r="D171" s="32" t="str">
        <x:v>Doğu Karadeniz</x:v>
      </x:c>
      <x:c r="E171" s="34" t="n">
        <x:v>22</x:v>
      </x:c>
      <x:c r="F171" s="32" t="str">
        <x:v>https://cbs1.tarimorman.gov.tr/server/rest/services/TATUS/FeatureServer/11/query?where=ID%3D22&amp;outFields=ID%2CHAVZA_ADI%2CALAN_KM2&amp;returnGeometry=true&amp;outSR=4326&amp;f=geojson</x:v>
      </x:c>
      <x:c r="G171" s="32" t="str">
        <x:v>UZUNDERE1</x:v>
      </x:c>
      <x:c r="H171" s="32" t="str">
        <x:v>RİZE</x:v>
      </x:c>
      <x:c r="I171" s="36" t="n">
        <x:v>40.902</x:v>
      </x:c>
      <x:c r="J171" s="36" t="n">
        <x:v>40.766</x:v>
      </x:c>
      <x:c r="K171" s="38" t="n">
        <x:v>1638</x:v>
      </x:c>
      <x:c r="L171" s="38" t="n">
        <x:v>1623</x:v>
      </x:c>
      <x:c r="M171" s="32"/>
      <x:c r="N171" s="38" t="n">
        <x:v>62</x:v>
      </x:c>
      <x:c r="O171" s="38"/>
      <x:c r="P171" s="38"/>
      <x:c r="Q171" s="38"/>
      <x:c r="R171" s="38"/>
      <x:c r="S171" s="38"/>
      <x:c r="T171" s="40"/>
      <x:c r="U171" s="32" t="str">
        <x:v>eşleşme yok</x:v>
      </x:c>
      <x:c r="V171" s="32" t="str">
        <x:v>C</x:v>
      </x:c>
      <x:c r="W171" s="32" t="str">
        <x:v>https://www.enerjiatlasi.com/hidroelektrik/?v=1.0.24</x:v>
      </x:c>
      <x:c r="X171" s="32" t="str">
        <x:v>https://openinframap.org/stats/area/Turkey/plants?source=hydro</x:v>
      </x:c>
      <x:c r="Y171" s="32" t="str">
        <x:v>hes_MERKEZI_LISTESI.xlsx — trafo merkezi koordinatı (yaklaşık)</x:v>
      </x:c>
      <x:c r="Z171" s="32" t="str">
        <x:v>10</x:v>
      </x:c>
      <x:c r="AA171" s="101" t="str">
        <x:v>EPİAŞ su göstergesi eşleşmesi bulunamadı; Kaskat alanında kaynak değeri '10' (belirsiz/sentinel);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71" s="133" t="str">
        <x:v>Trafo merkezi koordinatı ile tamamlandı</x:v>
      </x:c>
      <x:c r="AC171" s="133" t="str">
        <x:v>Trafo merkezi / elektrik bağlantı noktası (yaklaşık)</x:v>
      </x:c>
      <x:c r="AD171" s="133" t="n">
        <x:v>770</x:v>
      </x:c>
      <x:c r="AE171" s="133" t="str">
        <x:v>UZUNDERE1 HES</x:v>
      </x:c>
      <x:c r="AF171" s="133" t="str">
        <x:v>Rize</x:v>
      </x:c>
      <x:c r="AG171" s="134" t="n">
        <x:v>40.902</x:v>
      </x:c>
      <x:c r="AH171" s="134" t="n">
        <x:v>40.766</x:v>
      </x:c>
      <x:c r="AI171" s="133" t="str">
        <x:v>Tam ad eşleşmesi</x:v>
      </x:c>
      <x:c r="AJ171" s="133" t="str">
        <x:v>Yüksek</x:v>
      </x:c>
      <x:c r="AK171" s="135"/>
      <x:c r="AL171" s="133" t="str">
        <x:v>Point</x:v>
      </x:c>
      <x:c r="AM171" s="133" t="str">
        <x:v>{"type": "Point", "coordinates": [40.766, 40.902]}</x:v>
      </x:c>
      <x:c r="AN171" s="133" t="str">
        <x:v>Trafo merkezi / elektrik bağlantı noktası (yaklaşık)</x:v>
      </x:c>
      <x:c r="AO171" s="133"/>
      <x:c r="AP171" s="133"/>
      <x:c r="AQ171" s="134"/>
      <x:c r="AR171" s="134"/>
      <x:c r="AS171" s="133"/>
      <x:c r="AT171" s="133" t="str">
        <x:v>https://cbs1.tarimorman.gov.tr/server/rest/services/TATUS/FeatureServer/7/query?where=HAVZA_ID%3D22+AND+%28BarajAdi%3D%27UZUNDERE1%27%29&amp;outFields=OBJECTID%2CBarajAdi%2CHavzaAdi%2CHAVZA_ID%2CIl&amp;returnGeometry=true&amp;outSR=4326&amp;f=geojson</x:v>
      </x:c>
      <x:c r="AU171" s="133"/>
      <x:c r="AV171" s="133" t="str">
        <x:v>Polyline / LineString</x:v>
      </x:c>
      <x:c r="AW171" s="133" t="str">
        <x:v>https://cbs1.tarimorman.gov.tr/server/rest/services/TATUS/FeatureServer/8/query?where=HAVZA_ID%3D22&amp;geometry=40.766000%2C40.902000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1" s="133" t="str">
        <x:v>TATUS spatial query hazır; en yakın/uygun LineString seçilmeli</x:v>
      </x:c>
      <x:c r="AY171" s="133" t="str">
        <x:v>Polygon</x:v>
      </x:c>
      <x:c r="AZ171" s="133" t="str">
        <x:v>https://cbs1.tarimorman.gov.tr/server/rest/services/TATUS/FeatureServer/9/query?where=1%3D1&amp;geometry=40.766000%2C40.902000&amp;geometryType=esriGeometryPoint&amp;inSR=4326&amp;spatialRel=esriSpatialRelIntersects&amp;outFields=%2A&amp;returnGeometry=true&amp;outSR=4326&amp;resultRecordCount=5&amp;f=geojson</x:v>
      </x:c>
      <x:c r="BA171" s="133" t="str">
        <x:v>Santral popup: Su alanını göster</x:v>
      </x:c>
      <x:c r="BB171" s="133" t="str">
        <x:v>Orta-Düşük</x:v>
      </x:c>
      <x:c r="BC171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72" ht="30" customHeight="1">
      <x:c r="A172" s="100" t="n">
        <x:v>169</x:v>
      </x:c>
      <x:c r="B172" s="32" t="str">
        <x:v>YALNIZ ARDIÇ HES</x:v>
      </x:c>
      <x:c r="C172" s="32" t="str">
        <x:v>Orta Akdeniz</x:v>
      </x:c>
      <x:c r="D172" s="32" t="str">
        <x:v>Antalya</x:v>
      </x:c>
      <x:c r="E172" s="34" t="n">
        <x:v>9</x:v>
      </x:c>
      <x:c r="F172" s="32" t="str">
        <x:v>https://cbs1.tarimorman.gov.tr/server/rest/services/TATUS/FeatureServer/11/query?where=ID%3D9&amp;outFields=ID%2CHAVZA_ADI%2CALAN_KM2&amp;returnGeometry=true&amp;outSR=4326&amp;f=geojson</x:v>
      </x:c>
      <x:c r="G172" s="32" t="str">
        <x:v>YALNIZARDIÇ</x:v>
      </x:c>
      <x:c r="H172" s="32" t="str">
        <x:v>ANTALYA</x:v>
      </x:c>
      <x:c r="I172" s="36"/>
      <x:c r="J172" s="36"/>
      <x:c r="K172" s="38" t="n">
        <x:v>1358.5</x:v>
      </x:c>
      <x:c r="L172" s="38" t="n">
        <x:v>1309</x:v>
      </x:c>
      <x:c r="M172" s="32"/>
      <x:c r="N172" s="38" t="n">
        <x:v>10</x:v>
      </x:c>
      <x:c r="O172" s="38" t="n">
        <x:v>26.7</x:v>
      </x:c>
      <x:c r="P172" s="38" t="n">
        <x:v>109.53</x:v>
      </x:c>
      <x:c r="Q172" s="38" t="n">
        <x:v>12.1</x:v>
      </x:c>
      <x:c r="R172" s="38" t="n">
        <x:v>35.78</x:v>
      </x:c>
      <x:c r="S172" s="38" t="n">
        <x:v>11.91</x:v>
      </x:c>
      <x:c r="T172" s="40" t="n">
        <x:v>46278.81434027778</x:v>
      </x:c>
      <x:c r="U172" s="32" t="str">
        <x:v>alias</x:v>
      </x:c>
      <x:c r="V172" s="32" t="str">
        <x:v>B</x:v>
      </x:c>
      <x:c r="W172" s="32" t="str">
        <x:v>Yüklü Debi_ve_Kurulu_Guc-13092026.xlsx</x:v>
      </x:c>
      <x:c r="X172" s="32" t="str">
        <x:v>Yüklü Debi_ve_Kurulu_Guc-13092026.xlsx</x:v>
      </x:c>
      <x:c r="Y172" s="32"/>
      <x:c r="Z172" s="32" t="str">
        <x:v>10</x:v>
      </x:c>
      <x:c r="AA172" s="101" t="str">
        <x:v>Baraj adı eşleşmesi: YALNIZARDIÇ; Kaskat alanında kaynak değeri '10' (belirsiz/sentinel); Koordinat güvenilir açık kaynaktan doğrulanamadı</x:v>
      </x:c>
      <x:c r="AB172" s="133" t="str">
        <x:v>Koordinat eksik</x:v>
      </x:c>
      <x:c r="AC172" s="133" t="str">
        <x:v>—</x:v>
      </x:c>
      <x:c r="AD172" s="133"/>
      <x:c r="AE172" s="133"/>
      <x:c r="AF172" s="133"/>
      <x:c r="AG172" s="134"/>
      <x:c r="AH172" s="134"/>
      <x:c r="AI172" s="133"/>
      <x:c r="AJ172" s="133"/>
      <x:c r="AK172" s="135"/>
      <x:c r="AL172" s="133" t="str">
        <x:v>Point</x:v>
      </x:c>
      <x:c r="AM172" s="133"/>
      <x:c r="AN172" s="133" t="str">
        <x:v>Koordinat yok</x:v>
      </x:c>
      <x:c r="AO172" s="133"/>
      <x:c r="AP172" s="133"/>
      <x:c r="AQ172" s="134"/>
      <x:c r="AR172" s="134"/>
      <x:c r="AS172" s="133"/>
      <x:c r="AT172" s="133" t="str">
        <x:v>https://cbs1.tarimorman.gov.tr/server/rest/services/TATUS/FeatureServer/7/query?where=HAVZA_ID%3D9+AND+%28BarajAdi%3D%27YALNIZARDI%C3%87%27+OR+BarajAdi%3D%27YALNIZ+ARDI%C3%87%27%29&amp;outFields=OBJECTID%2CBarajAdi%2CHavzaAdi%2CHAVZA_ID%2CIl&amp;returnGeometry=true&amp;outSR=4326&amp;f=geojson</x:v>
      </x:c>
      <x:c r="AU172" s="133"/>
      <x:c r="AV172" s="133" t="str">
        <x:v>Polyline / LineString</x:v>
      </x:c>
      <x:c r="AW172" s="133"/>
      <x:c r="AX172" s="133" t="str">
        <x:v>Koordinat yok; spatial eşleme yapılamadı</x:v>
      </x:c>
      <x:c r="AY172" s="133" t="str">
        <x:v>Polygon</x:v>
      </x:c>
      <x:c r="AZ172" s="133"/>
      <x:c r="BA172" s="133" t="str">
        <x:v>Santral popup: Su alanını göster</x:v>
      </x:c>
      <x:c r="BB172" s="133" t="str">
        <x:v>Yok</x:v>
      </x:c>
      <x:c r="BC172" s="133" t="str">
        <x:v>TATUS baraj point doğrudan eşleşmesi bu çalışma kitabında çözülmedi; sorgu URL'si eklendi; Koordinat eksik olduğu için akarsu ve su toplama alanı spatial sorgusu üretilemedi</x:v>
      </x:c>
    </x:row>
    <x:row r="173" ht="30" customHeight="1">
      <x:c r="A173" s="100" t="n">
        <x:v>170</x:v>
      </x:c>
      <x:c r="B173" s="32" t="str">
        <x:v>YAMAÇ HES</x:v>
      </x:c>
      <x:c r="C173" s="32" t="str">
        <x:v>Ceyhan</x:v>
      </x:c>
      <x:c r="D173" s="32" t="str">
        <x:v>Ceyhan</x:v>
      </x:c>
      <x:c r="E173" s="34" t="n">
        <x:v>20</x:v>
      </x:c>
      <x:c r="F173" s="32" t="str">
        <x:v>https://cbs1.tarimorman.gov.tr/server/rest/services/TATUS/FeatureServer/11/query?where=ID%3D20&amp;outFields=ID%2CHAVZA_ADI%2CALAN_KM2&amp;returnGeometry=true&amp;outSR=4326&amp;f=geojson</x:v>
      </x:c>
      <x:c r="G173" s="32" t="str">
        <x:v>MEHMETLİ ( KESİKSUYU )</x:v>
      </x:c>
      <x:c r="H173" s="32" t="str">
        <x:v>OSMANİYE</x:v>
      </x:c>
      <x:c r="I173" s="36" t="n">
        <x:v>37.5073</x:v>
      </x:c>
      <x:c r="J173" s="36" t="n">
        <x:v>36.02193</x:v>
      </x:c>
      <x:c r="K173" s="38" t="n">
        <x:v>216.67</x:v>
      </x:c>
      <x:c r="L173" s="38" t="n">
        <x:v>174.2</x:v>
      </x:c>
      <x:c r="M173" s="32"/>
      <x:c r="N173" s="38" t="n">
        <x:v>5.5</x:v>
      </x:c>
      <x:c r="O173" s="38" t="n">
        <x:v>12.7</x:v>
      </x:c>
      <x:c r="P173" s="38" t="n">
        <x:v>109.75</x:v>
      </x:c>
      <x:c r="Q173" s="38" t="n">
        <x:v>6.47</x:v>
      </x:c>
      <x:c r="R173" s="38"/>
      <x:c r="S173" s="38"/>
      <x:c r="T173" s="40" t="n">
        <x:v>46278.81434027778</x:v>
      </x:c>
      <x:c r="U173" s="32" t="str">
        <x:v>alias</x:v>
      </x:c>
      <x:c r="V173" s="32" t="str">
        <x:v>B</x:v>
      </x:c>
      <x:c r="W173" s="32" t="str">
        <x:v>Yüklü Debi_ve_Kurulu_Guc-13092026.xlsx</x:v>
      </x:c>
      <x:c r="X173" s="32" t="str">
        <x:v>Yüklü Debi_ve_Kurulu_Guc-13092026.xlsx</x:v>
      </x:c>
      <x:c r="Y173" s="32" t="str">
        <x:v>TATUS Baraj Gözlem İstasyonları (FeatureServer/7) fallback</x:v>
      </x:c>
      <x:c r="Z173" s="32" t="str">
        <x:v>10</x:v>
      </x:c>
      <x:c r="AA173" s="101" t="str">
        <x:v>Baraj adı eşleşmesi: MEHMETLİ ( KESİKSUYU ); Kaskat alanında kaynak değeri '10' (belirsiz/sentinel); Koordinat güvenilir açık kaynaktan doğrulanamadı; TATUS baraj noktası fallback: MEHMETLİ ( KESİKSUYU ) (reservoir_exact); 1 nokta</x:v>
      </x:c>
      <x:c r="AB173" s="133" t="str">
        <x:v>TATUS baraj gözlem istasyonu ile tamamlandı</x:v>
      </x:c>
      <x:c r="AC173" s="133" t="str">
        <x:v>Baraj gözlem istasyonu (TATUS fallback)</x:v>
      </x:c>
      <x:c r="AD173" s="133"/>
      <x:c r="AE173" s="133"/>
      <x:c r="AF173" s="133"/>
      <x:c r="AG173" s="134"/>
      <x:c r="AH173" s="134"/>
      <x:c r="AI173" s="133"/>
      <x:c r="AJ173" s="133"/>
      <x:c r="AK173" s="135"/>
      <x:c r="AL173" s="133" t="str">
        <x:v>Point</x:v>
      </x:c>
      <x:c r="AM173" s="133" t="str">
        <x:v>{"type": "Point", "coordinates": [36.02193, 37.5073]}</x:v>
      </x:c>
      <x:c r="AN173" s="133" t="str">
        <x:v>TATUS Baraj Gözlem Point</x:v>
      </x:c>
      <x:c r="AO173" s="133" t="str">
        <x:v>MEHMETLİ ( KESİKSUYU )</x:v>
      </x:c>
      <x:c r="AP173" s="133" t="n">
        <x:v>1</x:v>
      </x:c>
      <x:c r="AQ173" s="134" t="n">
        <x:v>37.5073</x:v>
      </x:c>
      <x:c r="AR173" s="134" t="n">
        <x:v>36.02193</x:v>
      </x:c>
      <x:c r="AS173" s="133" t="str">
        <x:v>{"type": "Point", "coordinates": [36.02193, 37.5073]}</x:v>
      </x:c>
      <x:c r="AT173" s="133" t="str">
        <x:v>https://cbs1.tarimorman.gov.tr/server/rest/services/TATUS/FeatureServer/7/query?where=HAVZA_ID%3D20+AND+%28BarajAdi%3D%27MEHMETL%C4%B0+%28+KES%C4%B0KSUYU+%29%27+OR+BarajAdi%3D%27YAMA%C3%87%27%29&amp;outFields=OBJECTID%2CBarajAdi%2CHavzaAdi%2CHAVZA_ID%2CIl&amp;returnGeometry=true&amp;outSR=4326&amp;f=geojson</x:v>
      </x:c>
      <x:c r="AU173" s="133" t="str">
        <x:v>Ceyhan</x:v>
      </x:c>
      <x:c r="AV173" s="133" t="str">
        <x:v>Polyline / LineString</x:v>
      </x:c>
      <x:c r="AW173" s="133" t="str">
        <x:v>https://cbs1.tarimorman.gov.tr/server/rest/services/TATUS/FeatureServer/8/query?where=HAVZA_ID%3D20&amp;geometry=36.021930%2C37.507300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3" s="133" t="str">
        <x:v>Havza ana akarsuyu ön-eşleme; TATUS spatial query ile doğrulanmalı</x:v>
      </x:c>
      <x:c r="AY173" s="133" t="str">
        <x:v>Polygon</x:v>
      </x:c>
      <x:c r="AZ173" s="133" t="str">
        <x:v>https://cbs1.tarimorman.gov.tr/server/rest/services/TATUS/FeatureServer/9/query?where=1%3D1&amp;geometry=36.021930%2C37.507300&amp;geometryType=esriGeometryPoint&amp;inSR=4326&amp;spatialRel=esriSpatialRelIntersects&amp;outFields=%2A&amp;returnGeometry=true&amp;outSR=4326&amp;resultRecordCount=5&amp;f=geojson</x:v>
      </x:c>
      <x:c r="BA173" s="133" t="str">
        <x:v>Santral popup: Su alanını göster</x:v>
      </x:c>
      <x:c r="BB173" s="133" t="str">
        <x:v>Yüksek-Orta</x:v>
      </x:c>
      <x:c r="BC173" s="133"/>
    </x:row>
    <x:row r="174" ht="30" customHeight="1">
      <x:c r="A174" s="100" t="n">
        <x:v>171</x:v>
      </x:c>
      <x:c r="B174" s="32" t="str">
        <x:v>YAMULA HES</x:v>
      </x:c>
      <x:c r="C174" s="32" t="str">
        <x:v>Kızılırmak</x:v>
      </x:c>
      <x:c r="D174" s="32" t="str">
        <x:v>Kızılırmak</x:v>
      </x:c>
      <x:c r="E174" s="34" t="n">
        <x:v>15</x:v>
      </x:c>
      <x:c r="F174" s="32" t="str">
        <x:v>https://cbs1.tarimorman.gov.tr/server/rest/services/TATUS/FeatureServer/11/query?where=ID%3D15&amp;outFields=ID%2CHAVZA_ADI%2CALAN_KM2&amp;returnGeometry=true&amp;outSR=4326&amp;f=geojson</x:v>
      </x:c>
      <x:c r="G174" s="32" t="str">
        <x:v>YAMULA</x:v>
      </x:c>
      <x:c r="H174" s="32" t="str">
        <x:v>KAYSERİ</x:v>
      </x:c>
      <x:c r="I174" s="36" t="n">
        <x:v>38.904</x:v>
      </x:c>
      <x:c r="J174" s="36" t="n">
        <x:v>35.268</x:v>
      </x:c>
      <x:c r="K174" s="38" t="n">
        <x:v>1100</x:v>
      </x:c>
      <x:c r="L174" s="38" t="n">
        <x:v>1070</x:v>
      </x:c>
      <x:c r="M174" s="32" t="str">
        <x:v>BAYRAMHACILI HES</x:v>
      </x:c>
      <x:c r="N174" s="38" t="n">
        <x:v>100</x:v>
      </x:c>
      <x:c r="O174" s="38" t="n">
        <x:v>124</x:v>
      </x:c>
      <x:c r="P174" s="38" t="n">
        <x:v>3443.49</x:v>
      </x:c>
      <x:c r="Q174" s="38" t="n">
        <x:v>1384.79</x:v>
      </x:c>
      <x:c r="R174" s="38" t="n">
        <x:v>1510.45</x:v>
      </x:c>
      <x:c r="S174" s="38" t="n">
        <x:v>374.06</x:v>
      </x:c>
      <x:c r="T174" s="40" t="n">
        <x:v>46278.81434027778</x:v>
      </x:c>
      <x:c r="U174" s="32" t="str">
        <x:v>exact</x:v>
      </x:c>
      <x:c r="V174" s="32" t="str">
        <x:v>B</x:v>
      </x:c>
      <x:c r="W174" s="32" t="str">
        <x:v>Yüklü Debi_ve_Kurulu_Guc-13092026.xlsx</x:v>
      </x:c>
      <x:c r="X174" s="32" t="str">
        <x:v>Yüklü Debi_ve_Kurulu_Guc-13092026.xlsx</x:v>
      </x:c>
      <x:c r="Y174" s="32" t="str">
        <x:v>hes_MERKEZI_LISTESI.xlsx — trafo merkezi koordinatı (yaklaşık)</x:v>
      </x:c>
      <x:c r="Z174" s="32" t="str">
        <x:v>BAYRAMHACILI HES</x:v>
      </x:c>
      <x:c r="AA174" s="101" t="str">
        <x:v>Koordinat güvenilir açık kaynaktan doğrulanamadı; Santral/baraj kesin koordinatı doğrulanamadığı için eşleşen trafo merkezi koordinatı harita referansı olarak kullanıldı; kesin HES konumu değildir.</x:v>
      </x:c>
      <x:c r="AB174" s="133" t="str">
        <x:v>Trafo merkezi koordinatı ile tamamlandı</x:v>
      </x:c>
      <x:c r="AC174" s="133" t="str">
        <x:v>Trafo merkezi / elektrik bağlantı noktası (yaklaşık)</x:v>
      </x:c>
      <x:c r="AD174" s="133" t="n">
        <x:v>964</x:v>
      </x:c>
      <x:c r="AE174" s="133" t="str">
        <x:v>YAMULA HES</x:v>
      </x:c>
      <x:c r="AF174" s="133" t="str">
        <x:v>Kayseri</x:v>
      </x:c>
      <x:c r="AG174" s="134" t="n">
        <x:v>38.904</x:v>
      </x:c>
      <x:c r="AH174" s="134" t="n">
        <x:v>35.268</x:v>
      </x:c>
      <x:c r="AI174" s="133" t="str">
        <x:v>Tam ad eşleşmesi</x:v>
      </x:c>
      <x:c r="AJ174" s="133" t="str">
        <x:v>Yüksek</x:v>
      </x:c>
      <x:c r="AK174" s="135"/>
      <x:c r="AL174" s="133" t="str">
        <x:v>Point</x:v>
      </x:c>
      <x:c r="AM174" s="133" t="str">
        <x:v>{"type": "Point", "coordinates": [35.268, 38.904]}</x:v>
      </x:c>
      <x:c r="AN174" s="133" t="str">
        <x:v>Trafo merkezi / elektrik bağlantı noktası (yaklaşık)</x:v>
      </x:c>
      <x:c r="AO174" s="133"/>
      <x:c r="AP174" s="133"/>
      <x:c r="AQ174" s="134"/>
      <x:c r="AR174" s="134"/>
      <x:c r="AS174" s="133"/>
      <x:c r="AT174" s="133" t="str">
        <x:v>https://cbs1.tarimorman.gov.tr/server/rest/services/TATUS/FeatureServer/7/query?where=HAVZA_ID%3D15+AND+%28BarajAdi%3D%27YAMULA%27%29&amp;outFields=OBJECTID%2CBarajAdi%2CHavzaAdi%2CHAVZA_ID%2CIl&amp;returnGeometry=true&amp;outSR=4326&amp;f=geojson</x:v>
      </x:c>
      <x:c r="AU174" s="133" t="str">
        <x:v>Kızılırmak</x:v>
      </x:c>
      <x:c r="AV174" s="133" t="str">
        <x:v>Polyline / LineString</x:v>
      </x:c>
      <x:c r="AW174" s="133" t="str">
        <x:v>https://cbs1.tarimorman.gov.tr/server/rest/services/TATUS/FeatureServer/8/query?where=HAVZA_ID%3D15&amp;geometry=35.268000%2C38.904000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4" s="133" t="str">
        <x:v>Havza ana akarsuyu ön-eşleme; TATUS spatial query ile doğrulanmalı</x:v>
      </x:c>
      <x:c r="AY174" s="133" t="str">
        <x:v>Polygon</x:v>
      </x:c>
      <x:c r="AZ174" s="133" t="str">
        <x:v>https://cbs1.tarimorman.gov.tr/server/rest/services/TATUS/FeatureServer/9/query?where=1%3D1&amp;geometry=35.268000%2C38.904000&amp;geometryType=esriGeometryPoint&amp;inSR=4326&amp;spatialRel=esriSpatialRelIntersects&amp;outFields=%2A&amp;returnGeometry=true&amp;outSR=4326&amp;resultRecordCount=5&amp;f=geojson</x:v>
      </x:c>
      <x:c r="BA174" s="133" t="str">
        <x:v>Santral popup: Su alanını göster</x:v>
      </x:c>
      <x:c r="BB174" s="133" t="str">
        <x:v>Orta-Düşük</x:v>
      </x:c>
      <x:c r="BC174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75" ht="30" customHeight="1">
      <x:c r="A175" s="100" t="n">
        <x:v>172</x:v>
      </x:c>
      <x:c r="B175" s="32" t="str">
        <x:v>YAPRAK1-2 HES</x:v>
      </x:c>
      <x:c r="C175" s="32" t="str">
        <x:v>Yeşilırmak</x:v>
      </x:c>
      <x:c r="D175" s="32" t="str">
        <x:v>Yeşilırmak</x:v>
      </x:c>
      <x:c r="E175" s="34" t="n">
        <x:v>14</x:v>
      </x:c>
      <x:c r="F175" s="32" t="str">
        <x:v>https://cbs1.tarimorman.gov.tr/server/rest/services/TATUS/FeatureServer/11/query?where=ID%3D14&amp;outFields=ID%2CHAVZA_ADI%2CALAN_KM2&amp;returnGeometry=true&amp;outSR=4326&amp;f=geojson</x:v>
      </x:c>
      <x:c r="G175" s="32" t="str">
        <x:v>YAPRAK I BARAJI</x:v>
      </x:c>
      <x:c r="H175" s="32" t="str">
        <x:v>AMASYA</x:v>
      </x:c>
      <x:c r="I175" s="36" t="n">
        <x:v>40.877</x:v>
      </x:c>
      <x:c r="J175" s="36" t="n">
        <x:v>36.379</x:v>
      </x:c>
      <x:c r="K175" s="38" t="n">
        <x:v>569</x:v>
      </x:c>
      <x:c r="L175" s="38" t="n">
        <x:v>540</x:v>
      </x:c>
      <x:c r="M175" s="32"/>
      <x:c r="N175" s="38" t="n">
        <x:v>10</x:v>
      </x:c>
      <x:c r="O175" s="38" t="n">
        <x:v>8</x:v>
      </x:c>
      <x:c r="P175" s="38" t="n">
        <x:v>15.14</x:v>
      </x:c>
      <x:c r="Q175" s="38" t="n">
        <x:v>1.68</x:v>
      </x:c>
      <x:c r="R175" s="38"/>
      <x:c r="S175" s="38"/>
      <x:c r="T175" s="40" t="n">
        <x:v>46278.81434027778</x:v>
      </x:c>
      <x:c r="U175" s="32" t="str">
        <x:v>alias</x:v>
      </x:c>
      <x:c r="V175" s="32" t="str">
        <x:v>B</x:v>
      </x:c>
      <x:c r="W175" s="32" t="str">
        <x:v>Yüklü Debi_ve_Kurulu_Guc-13092026.xlsx</x:v>
      </x:c>
      <x:c r="X175" s="32" t="str">
        <x:v>Yüklü Debi_ve_Kurulu_Guc-13092026.xlsx</x:v>
      </x:c>
      <x:c r="Y175" s="32" t="str">
        <x:v>hes_MERKEZI_LISTESI.xlsx — trafo merkezi koordinatı (yaklaşık)</x:v>
      </x:c>
      <x:c r="Z175" s="32" t="str">
        <x:v>10</x:v>
      </x:c>
      <x:c r="AA175" s="101" t="str">
        <x:v>Baraj adı eşleşmesi: YAPRAK I BARAJI; 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75" s="133" t="str">
        <x:v>Trafo merkezi koordinatı ile tamamlandı</x:v>
      </x:c>
      <x:c r="AC175" s="133" t="str">
        <x:v>Trafo merkezi / elektrik bağlantı noktası (yaklaşık)</x:v>
      </x:c>
      <x:c r="AD175" s="133" t="n">
        <x:v>815</x:v>
      </x:c>
      <x:c r="AE175" s="133" t="str">
        <x:v>YAPRAK HES</x:v>
      </x:c>
      <x:c r="AF175" s="133" t="str">
        <x:v>Amasya</x:v>
      </x:c>
      <x:c r="AG175" s="134" t="n">
        <x:v>40.877</x:v>
      </x:c>
      <x:c r="AH175" s="134" t="n">
        <x:v>36.379</x:v>
      </x:c>
      <x:c r="AI175" s="133" t="str">
        <x:v>Kontrollü ad/alias eşleşmesi</x:v>
      </x:c>
      <x:c r="AJ175" s="133" t="str">
        <x:v>Orta-Yüksek</x:v>
      </x:c>
      <x:c r="AK175" s="135"/>
      <x:c r="AL175" s="133" t="str">
        <x:v>Point</x:v>
      </x:c>
      <x:c r="AM175" s="133" t="str">
        <x:v>{"type": "Point", "coordinates": [36.379, 40.877]}</x:v>
      </x:c>
      <x:c r="AN175" s="133" t="str">
        <x:v>Trafo merkezi / elektrik bağlantı noktası (yaklaşık)</x:v>
      </x:c>
      <x:c r="AO175" s="133"/>
      <x:c r="AP175" s="133"/>
      <x:c r="AQ175" s="134"/>
      <x:c r="AR175" s="134"/>
      <x:c r="AS175" s="133"/>
      <x:c r="AT175" s="133" t="str">
        <x:v>https://cbs1.tarimorman.gov.tr/server/rest/services/TATUS/FeatureServer/7/query?where=HAVZA_ID%3D14+AND+%28BarajAdi%3D%27YAPRAK+I+BARAJI%27+OR+BarajAdi%3D%27YAPRAK1-2%27%29&amp;outFields=OBJECTID%2CBarajAdi%2CHavzaAdi%2CHAVZA_ID%2CIl&amp;returnGeometry=true&amp;outSR=4326&amp;f=geojson</x:v>
      </x:c>
      <x:c r="AU175" s="133" t="str">
        <x:v>Yeşilırmak</x:v>
      </x:c>
      <x:c r="AV175" s="133" t="str">
        <x:v>Polyline / LineString</x:v>
      </x:c>
      <x:c r="AW175" s="133" t="str">
        <x:v>https://cbs1.tarimorman.gov.tr/server/rest/services/TATUS/FeatureServer/8/query?where=HAVZA_ID%3D14&amp;geometry=36.379000%2C40.877000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5" s="133" t="str">
        <x:v>Havza ana akarsuyu ön-eşleme; TATUS spatial query ile doğrulanmalı</x:v>
      </x:c>
      <x:c r="AY175" s="133" t="str">
        <x:v>Polygon</x:v>
      </x:c>
      <x:c r="AZ175" s="133" t="str">
        <x:v>https://cbs1.tarimorman.gov.tr/server/rest/services/TATUS/FeatureServer/9/query?where=1%3D1&amp;geometry=36.379000%2C40.877000&amp;geometryType=esriGeometryPoint&amp;inSR=4326&amp;spatialRel=esriSpatialRelIntersects&amp;outFields=%2A&amp;returnGeometry=true&amp;outSR=4326&amp;resultRecordCount=5&amp;f=geojson</x:v>
      </x:c>
      <x:c r="BA175" s="133" t="str">
        <x:v>Santral popup: Su alanını göster</x:v>
      </x:c>
      <x:c r="BB175" s="133" t="str">
        <x:v>Orta-Düşük</x:v>
      </x:c>
      <x:c r="BC175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76" ht="30" customHeight="1">
      <x:c r="A176" s="100" t="n">
        <x:v>173</x:v>
      </x:c>
      <x:c r="B176" s="32" t="str">
        <x:v>YAZI HES</x:v>
      </x:c>
      <x:c r="C176" s="32" t="str">
        <x:v>Yeşilırmak</x:v>
      </x:c>
      <x:c r="D176" s="32" t="str">
        <x:v>Yeşilırmak</x:v>
      </x:c>
      <x:c r="E176" s="34" t="n">
        <x:v>14</x:v>
      </x:c>
      <x:c r="F176" s="32" t="str">
        <x:v>https://cbs1.tarimorman.gov.tr/server/rest/services/TATUS/FeatureServer/11/query?where=ID%3D14&amp;outFields=ID%2CHAVZA_ADI%2CALAN_KM2&amp;returnGeometry=true&amp;outSR=4326&amp;f=geojson</x:v>
      </x:c>
      <x:c r="G176" s="32" t="str">
        <x:v>YAZI</x:v>
      </x:c>
      <x:c r="H176" s="32"/>
      <x:c r="I176" s="36"/>
      <x:c r="J176" s="36"/>
      <x:c r="K176" s="38" t="n">
        <x:v>1510.5</x:v>
      </x:c>
      <x:c r="L176" s="38" t="n">
        <x:v>1475</x:v>
      </x:c>
      <x:c r="M176" s="32"/>
      <x:c r="N176" s="38" t="n">
        <x:v>1.2</x:v>
      </x:c>
      <x:c r="O176" s="38"/>
      <x:c r="P176" s="38"/>
      <x:c r="Q176" s="38"/>
      <x:c r="R176" s="38"/>
      <x:c r="S176" s="38"/>
      <x:c r="T176" s="40"/>
      <x:c r="U176" s="32" t="str">
        <x:v>eşleşme yok</x:v>
      </x:c>
      <x:c r="V176" s="32" t="str">
        <x:v>C</x:v>
      </x:c>
      <x:c r="W176" s="32"/>
      <x:c r="X176" s="32" t="str">
        <x:v>https://ere.com.tr/wp-content/uploads/2022/06/Hid_pot.pdf</x:v>
      </x:c>
      <x:c r="Y176" s="32"/>
      <x:c r="Z176" s="32" t="str">
        <x:v>10</x:v>
      </x:c>
      <x:c r="AA176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176" s="133" t="str">
        <x:v>Koordinat eksik</x:v>
      </x:c>
      <x:c r="AC176" s="133" t="str">
        <x:v>—</x:v>
      </x:c>
      <x:c r="AD176" s="133"/>
      <x:c r="AE176" s="133"/>
      <x:c r="AF176" s="133"/>
      <x:c r="AG176" s="134"/>
      <x:c r="AH176" s="134"/>
      <x:c r="AI176" s="133"/>
      <x:c r="AJ176" s="133"/>
      <x:c r="AK176" s="135"/>
      <x:c r="AL176" s="133" t="str">
        <x:v>Point</x:v>
      </x:c>
      <x:c r="AM176" s="133"/>
      <x:c r="AN176" s="133" t="str">
        <x:v>Koordinat yok</x:v>
      </x:c>
      <x:c r="AO176" s="133"/>
      <x:c r="AP176" s="133"/>
      <x:c r="AQ176" s="134"/>
      <x:c r="AR176" s="134"/>
      <x:c r="AS176" s="133"/>
      <x:c r="AT176" s="133" t="str">
        <x:v>https://cbs1.tarimorman.gov.tr/server/rest/services/TATUS/FeatureServer/7/query?where=HAVZA_ID%3D14+AND+%28BarajAdi%3D%27YAZI%27%29&amp;outFields=OBJECTID%2CBarajAdi%2CHavzaAdi%2CHAVZA_ID%2CIl&amp;returnGeometry=true&amp;outSR=4326&amp;f=geojson</x:v>
      </x:c>
      <x:c r="AU176" s="133" t="str">
        <x:v>Yeşilırmak</x:v>
      </x:c>
      <x:c r="AV176" s="133" t="str">
        <x:v>Polyline / LineString</x:v>
      </x:c>
      <x:c r="AW176" s="133"/>
      <x:c r="AX176" s="133" t="str">
        <x:v>Havza ana akarsuyu ön-eşleme; TATUS spatial query ile doğrulanmalı</x:v>
      </x:c>
      <x:c r="AY176" s="133" t="str">
        <x:v>Polygon</x:v>
      </x:c>
      <x:c r="AZ176" s="133"/>
      <x:c r="BA176" s="133" t="str">
        <x:v>Santral popup: Su alanını göster</x:v>
      </x:c>
      <x:c r="BB176" s="133" t="str">
        <x:v>Yok</x:v>
      </x:c>
      <x:c r="BC176" s="133" t="str">
        <x:v>TATUS baraj point doğrudan eşleşmesi bu çalışma kitabında çözülmedi; sorgu URL'si eklendi; Koordinat eksik olduğu için akarsu ve su toplama alanı spatial sorgusu üretilemedi</x:v>
      </x:c>
    </x:row>
    <x:row r="177" ht="30" customHeight="1">
      <x:c r="A177" s="100" t="n">
        <x:v>174</x:v>
      </x:c>
      <x:c r="B177" s="32" t="str">
        <x:v>YENİCE HES</x:v>
      </x:c>
      <x:c r="C177" s="32" t="str">
        <x:v>Sakarya</x:v>
      </x:c>
      <x:c r="D177" s="32" t="str">
        <x:v>Sakarya</x:v>
      </x:c>
      <x:c r="E177" s="34" t="n">
        <x:v>12</x:v>
      </x:c>
      <x:c r="F177" s="32" t="str">
        <x:v>https://cbs1.tarimorman.gov.tr/server/rest/services/TATUS/FeatureServer/11/query?where=ID%3D12&amp;outFields=ID%2CHAVZA_ADI%2CALAN_KM2&amp;returnGeometry=true&amp;outSR=4326&amp;f=geojson</x:v>
      </x:c>
      <x:c r="G177" s="32" t="str">
        <x:v>YENİCE</x:v>
      </x:c>
      <x:c r="H177" s="32" t="str">
        <x:v>ESKİŞEHİR</x:v>
      </x:c>
      <x:c r="I177" s="36" t="n">
        <x:v>40.066</x:v>
      </x:c>
      <x:c r="J177" s="36" t="n">
        <x:v>30.857</x:v>
      </x:c>
      <x:c r="K177" s="38" t="n">
        <x:v>273.1</x:v>
      </x:c>
      <x:c r="L177" s="38" t="n">
        <x:v>272</x:v>
      </x:c>
      <x:c r="M177" s="32"/>
      <x:c r="N177" s="38" t="n">
        <x:v>37.9</x:v>
      </x:c>
      <x:c r="O177" s="38" t="n">
        <x:v>150</x:v>
      </x:c>
      <x:c r="P177" s="38" t="n">
        <x:v>57.92</x:v>
      </x:c>
      <x:c r="Q177" s="38" t="n">
        <x:v>53.25</x:v>
      </x:c>
      <x:c r="R177" s="38" t="n">
        <x:v>0</x:v>
      </x:c>
      <x:c r="S177" s="38" t="n">
        <x:v>0</x:v>
      </x:c>
      <x:c r="T177" s="40" t="n">
        <x:v>46278.81434027778</x:v>
      </x:c>
      <x:c r="U177" s="32" t="str">
        <x:v>exact</x:v>
      </x:c>
      <x:c r="V177" s="32" t="str">
        <x:v>B</x:v>
      </x:c>
      <x:c r="W177" s="32" t="str">
        <x:v>Yüklü Debi_ve_Kurulu_Guc-13092026.xlsx</x:v>
      </x:c>
      <x:c r="X177" s="32" t="str">
        <x:v>Yüklü Debi_ve_Kurulu_Guc-13092026.xlsx</x:v>
      </x:c>
      <x:c r="Y177" s="32" t="str">
        <x:v>hes_MERKEZI_LISTESI.xlsx — trafo merkezi koordinatı (yaklaşık)</x:v>
      </x:c>
      <x:c r="Z177" s="32" t="str">
        <x:v>10</x:v>
      </x:c>
      <x:c r="AA177" s="101" t="str">
        <x:v>Kaskat alanında kaynak değeri '10' (belirsiz/sentinel); Koordinat güvenilir açık kaynaktan doğrulanamadı; Santral/baraj kesin koordinatı doğrulanamadığı için eşleşen trafo merkezi koordinatı harita referansı olarak kullanıldı; kesin HES konumu değildir.</x:v>
      </x:c>
      <x:c r="AB177" s="133" t="str">
        <x:v>Trafo merkezi koordinatı ile tamamlandı</x:v>
      </x:c>
      <x:c r="AC177" s="133" t="str">
        <x:v>Trafo merkezi / elektrik bağlantı noktası (yaklaşık)</x:v>
      </x:c>
      <x:c r="AD177" s="133" t="n">
        <x:v>983</x:v>
      </x:c>
      <x:c r="AE177" s="133" t="str">
        <x:v>YENİCE HES</x:v>
      </x:c>
      <x:c r="AF177" s="133" t="str">
        <x:v>Ankara</x:v>
      </x:c>
      <x:c r="AG177" s="134" t="n">
        <x:v>40.066</x:v>
      </x:c>
      <x:c r="AH177" s="134" t="n">
        <x:v>30.857</x:v>
      </x:c>
      <x:c r="AI177" s="133" t="str">
        <x:v>Tam ad eşleşmesi</x:v>
      </x:c>
      <x:c r="AJ177" s="133" t="str">
        <x:v>Yüksek</x:v>
      </x:c>
      <x:c r="AK177" s="135"/>
      <x:c r="AL177" s="133" t="str">
        <x:v>Point</x:v>
      </x:c>
      <x:c r="AM177" s="133" t="str">
        <x:v>{"type": "Point", "coordinates": [30.857, 40.066]}</x:v>
      </x:c>
      <x:c r="AN177" s="133" t="str">
        <x:v>Trafo merkezi / elektrik bağlantı noktası (yaklaşık)</x:v>
      </x:c>
      <x:c r="AO177" s="133"/>
      <x:c r="AP177" s="133"/>
      <x:c r="AQ177" s="134"/>
      <x:c r="AR177" s="134"/>
      <x:c r="AS177" s="133"/>
      <x:c r="AT177" s="133" t="str">
        <x:v>https://cbs1.tarimorman.gov.tr/server/rest/services/TATUS/FeatureServer/7/query?where=HAVZA_ID%3D12+AND+%28BarajAdi%3D%27YEN%C4%B0CE%27%29&amp;outFields=OBJECTID%2CBarajAdi%2CHavzaAdi%2CHAVZA_ID%2CIl&amp;returnGeometry=true&amp;outSR=4326&amp;f=geojson</x:v>
      </x:c>
      <x:c r="AU177" s="133" t="str">
        <x:v>Sakarya</x:v>
      </x:c>
      <x:c r="AV177" s="133" t="str">
        <x:v>Polyline / LineString</x:v>
      </x:c>
      <x:c r="AW177" s="133" t="str">
        <x:v>https://cbs1.tarimorman.gov.tr/server/rest/services/TATUS/FeatureServer/8/query?where=HAVZA_ID%3D12&amp;geometry=30.857000%2C40.066000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7" s="133" t="str">
        <x:v>Havza ana akarsuyu ön-eşleme; TATUS spatial query ile doğrulanmalı</x:v>
      </x:c>
      <x:c r="AY177" s="133" t="str">
        <x:v>Polygon</x:v>
      </x:c>
      <x:c r="AZ177" s="133" t="str">
        <x:v>https://cbs1.tarimorman.gov.tr/server/rest/services/TATUS/FeatureServer/9/query?where=1%3D1&amp;geometry=30.857000%2C40.066000&amp;geometryType=esriGeometryPoint&amp;inSR=4326&amp;spatialRel=esriSpatialRelIntersects&amp;outFields=%2A&amp;returnGeometry=true&amp;outSR=4326&amp;resultRecordCount=5&amp;f=geojson</x:v>
      </x:c>
      <x:c r="BA177" s="133" t="str">
        <x:v>Santral popup: Su alanını göster</x:v>
      </x:c>
      <x:c r="BB177" s="133" t="str">
        <x:v>Orta-Düşük</x:v>
      </x:c>
      <x:c r="BC177" s="133" t="str">
        <x:v>TATUS baraj point doğrudan eşleşmesi bu çalışma kitabında çözülmedi; sorgu URL'si eklendi; Akarsu/catchment sorgusu yaklaşık trafo noktasına dayanır; santral/baraj noktası ile doğrulanmalı</x:v>
      </x:c>
    </x:row>
    <x:row r="178" ht="30" customHeight="1">
      <x:c r="A178" s="100" t="n">
        <x:v>175</x:v>
      </x:c>
      <x:c r="B178" s="32" t="str">
        <x:v>YUKARI KALEKÖY HES</x:v>
      </x:c>
      <x:c r="C178" s="32" t="str">
        <x:v>Fırat Dicle</x:v>
      </x:c>
      <x:c r="D178" s="32" t="str">
        <x:v>Fırat-Dicle</x:v>
      </x:c>
      <x:c r="E178" s="34" t="n">
        <x:v>21</x:v>
      </x:c>
      <x:c r="F178" s="32" t="str">
        <x:v>https://cbs1.tarimorman.gov.tr/server/rest/services/TATUS/FeatureServer/11/query?where=ID%3D21&amp;outFields=ID%2CHAVZA_ADI%2CALAN_KM2&amp;returnGeometry=true&amp;outSR=4326&amp;f=geojson</x:v>
      </x:c>
      <x:c r="G178" s="32" t="str">
        <x:v>YUKARI KALEKÖY</x:v>
      </x:c>
      <x:c r="H178" s="32" t="str">
        <x:v>BİNGÖL</x:v>
      </x:c>
      <x:c r="I178" s="36" t="n">
        <x:v>38.823</x:v>
      </x:c>
      <x:c r="J178" s="36" t="n">
        <x:v>41.029</x:v>
      </x:c>
      <x:c r="K178" s="38" t="n">
        <x:v>1235</x:v>
      </x:c>
      <x:c r="L178" s="38" t="n">
        <x:v>1210</x:v>
      </x:c>
      <x:c r="M178" s="32" t="str">
        <x:v>AŞAĞI KALEKÖY HES</x:v>
      </x:c>
      <x:c r="N178" s="38" t="n">
        <x:v>627</x:v>
      </x:c>
      <x:c r="O178" s="38"/>
      <x:c r="P178" s="38"/>
      <x:c r="Q178" s="38"/>
      <x:c r="R178" s="38"/>
      <x:c r="S178" s="38"/>
      <x:c r="T178" s="40"/>
      <x:c r="U178" s="32" t="str">
        <x:v>eşleşme yok</x:v>
      </x:c>
      <x:c r="V178" s="32" t="str">
        <x:v>C</x:v>
      </x:c>
      <x:c r="W178" s="32" t="str">
        <x:v>https://openinframap.org/stats/area/Turkey/plants?source=hydro</x:v>
      </x:c>
      <x:c r="X178" s="32" t="str">
        <x:v>https://openinframap.org/stats/area/Turkey/plants?source=hydro</x:v>
      </x:c>
      <x:c r="Y178" s="32" t="str">
        <x:v>hes_MERKEZI_LISTESI.xlsx — trafo merkezi koordinatı (yaklaşık)</x:v>
      </x:c>
      <x:c r="Z178" s="32" t="str">
        <x:v>AŞAĞI KALEKÖY HES</x:v>
      </x:c>
      <x:c r="AA178" s="101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78" s="133" t="str">
        <x:v>Trafo merkezi koordinatı ile tamamlandı</x:v>
      </x:c>
      <x:c r="AC178" s="133" t="str">
        <x:v>Trafo merkezi / elektrik bağlantı noktası (yaklaşık)</x:v>
      </x:c>
      <x:c r="AD178" s="133" t="n">
        <x:v>1465</x:v>
      </x:c>
      <x:c r="AE178" s="133" t="str">
        <x:v>YUKARI KALEKÖY HES</x:v>
      </x:c>
      <x:c r="AF178" s="133" t="str">
        <x:v>Bingöl</x:v>
      </x:c>
      <x:c r="AG178" s="134" t="n">
        <x:v>38.823</x:v>
      </x:c>
      <x:c r="AH178" s="134" t="n">
        <x:v>41.029</x:v>
      </x:c>
      <x:c r="AI178" s="133" t="str">
        <x:v>Tam ad eşleşmesi</x:v>
      </x:c>
      <x:c r="AJ178" s="133" t="str">
        <x:v>Yüksek</x:v>
      </x:c>
      <x:c r="AK178" s="135"/>
      <x:c r="AL178" s="133" t="str">
        <x:v>Point</x:v>
      </x:c>
      <x:c r="AM178" s="133" t="str">
        <x:v>{"type": "Point", "coordinates": [41.029, 38.823]}</x:v>
      </x:c>
      <x:c r="AN178" s="133" t="str">
        <x:v>Trafo merkezi / elektrik bağlantı noktası (yaklaşık)</x:v>
      </x:c>
      <x:c r="AO178" s="133"/>
      <x:c r="AP178" s="133"/>
      <x:c r="AQ178" s="134"/>
      <x:c r="AR178" s="134"/>
      <x:c r="AS178" s="133"/>
      <x:c r="AT178" s="133" t="str">
        <x:v>https://cbs1.tarimorman.gov.tr/server/rest/services/TATUS/FeatureServer/7/query?where=HAVZA_ID%3D21+AND+%28BarajAdi%3D%27YUKARI+KALEK%C3%96Y%27%29&amp;outFields=OBJECTID%2CBarajAdi%2CHavzaAdi%2CHAVZA_ID%2CIl&amp;returnGeometry=true&amp;outSR=4326&amp;f=geojson</x:v>
      </x:c>
      <x:c r="AU178" s="133"/>
      <x:c r="AV178" s="133" t="str">
        <x:v>Polyline / LineString</x:v>
      </x:c>
      <x:c r="AW178" s="133" t="str">
        <x:v>https://cbs1.tarimorman.gov.tr/server/rest/services/TATUS/FeatureServer/8/query?where=HAVZA_ID%3D21&amp;geometry=41.029000%2C38.823000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78" s="133" t="str">
        <x:v>TATUS spatial query hazır; en yakın/uygun LineString seçilmeli</x:v>
      </x:c>
      <x:c r="AY178" s="133" t="str">
        <x:v>Polygon</x:v>
      </x:c>
      <x:c r="AZ178" s="133" t="str">
        <x:v>https://cbs1.tarimorman.gov.tr/server/rest/services/TATUS/FeatureServer/9/query?where=1%3D1&amp;geometry=41.029000%2C38.823000&amp;geometryType=esriGeometryPoint&amp;inSR=4326&amp;spatialRel=esriSpatialRelIntersects&amp;outFields=%2A&amp;returnGeometry=true&amp;outSR=4326&amp;resultRecordCount=5&amp;f=geojson</x:v>
      </x:c>
      <x:c r="BA178" s="133" t="str">
        <x:v>Santral popup: Su alanını göster</x:v>
      </x:c>
      <x:c r="BB178" s="133" t="str">
        <x:v>Orta-Düşük</x:v>
      </x:c>
      <x:c r="BC178" s="133" t="str">
        <x:v>TATUS baraj point doğrudan eşleşmesi bu çalışma kitabında çözülmedi; sorgu URL'si eklendi; Akarsu/catchment sorgusu yaklaşık trafo noktasına dayanır; santral/baraj noktası ile doğrulanmalı; Fırat-Dicle havzasında nehir adı havzadan türetilmedi; yanlış Fırat/Dicle eşleşmesini önlemek için spatial doğrulama gerekli</x:v>
      </x:c>
    </x:row>
    <x:row r="179" ht="30" customHeight="1">
      <x:c r="A179" s="100" t="n">
        <x:v>176</x:v>
      </x:c>
      <x:c r="B179" s="32" t="str">
        <x:v>YUKARI MANAHOZ HES</x:v>
      </x:c>
      <x:c r="C179" s="32" t="str">
        <x:v>Doğu Karadeniz</x:v>
      </x:c>
      <x:c r="D179" s="32" t="str">
        <x:v>Doğu Karadeniz</x:v>
      </x:c>
      <x:c r="E179" s="34" t="n">
        <x:v>22</x:v>
      </x:c>
      <x:c r="F179" s="32" t="str">
        <x:v>https://cbs1.tarimorman.gov.tr/server/rest/services/TATUS/FeatureServer/11/query?where=ID%3D22&amp;outFields=ID%2CHAVZA_ADI%2CALAN_KM2&amp;returnGeometry=true&amp;outSR=4326&amp;f=geojson</x:v>
      </x:c>
      <x:c r="G179" s="32" t="str">
        <x:v>YUKARI MANAHOZ</x:v>
      </x:c>
      <x:c r="H179" s="32" t="str">
        <x:v>TRABZON</x:v>
      </x:c>
      <x:c r="I179" s="36"/>
      <x:c r="J179" s="36"/>
      <x:c r="K179" s="38" t="n">
        <x:v>1159.4</x:v>
      </x:c>
      <x:c r="L179" s="38" t="n">
        <x:v>1145</x:v>
      </x:c>
      <x:c r="M179" s="32"/>
      <x:c r="N179" s="38" t="n">
        <x:v>22.4</x:v>
      </x:c>
      <x:c r="O179" s="38"/>
      <x:c r="P179" s="38"/>
      <x:c r="Q179" s="38"/>
      <x:c r="R179" s="38"/>
      <x:c r="S179" s="38"/>
      <x:c r="T179" s="40"/>
      <x:c r="U179" s="32" t="str">
        <x:v>eşleşme yok</x:v>
      </x:c>
      <x:c r="V179" s="32" t="str">
        <x:v>C</x:v>
      </x:c>
      <x:c r="W179" s="32" t="str">
        <x:v>https://dergipark.org.tr/tr/download/article-file/1173951</x:v>
      </x:c>
      <x:c r="X179" s="32" t="str">
        <x:v>https://dergipark.org.tr/tr/download/article-file/1173951</x:v>
      </x:c>
      <x:c r="Y179" s="32"/>
      <x:c r="Z179" s="32" t="str">
        <x:v>10</x:v>
      </x:c>
      <x:c r="AA17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  <x:c r="AB179" s="133" t="str">
        <x:v>Koordinat eksik</x:v>
      </x:c>
      <x:c r="AC179" s="133" t="str">
        <x:v>—</x:v>
      </x:c>
      <x:c r="AD179" s="133"/>
      <x:c r="AE179" s="133"/>
      <x:c r="AF179" s="133"/>
      <x:c r="AG179" s="134"/>
      <x:c r="AH179" s="134"/>
      <x:c r="AI179" s="133"/>
      <x:c r="AJ179" s="133"/>
      <x:c r="AK179" s="135"/>
      <x:c r="AL179" s="133" t="str">
        <x:v>Point</x:v>
      </x:c>
      <x:c r="AM179" s="133"/>
      <x:c r="AN179" s="133" t="str">
        <x:v>Koordinat yok</x:v>
      </x:c>
      <x:c r="AO179" s="133"/>
      <x:c r="AP179" s="133"/>
      <x:c r="AQ179" s="134"/>
      <x:c r="AR179" s="134"/>
      <x:c r="AS179" s="133"/>
      <x:c r="AT179" s="133" t="str">
        <x:v>https://cbs1.tarimorman.gov.tr/server/rest/services/TATUS/FeatureServer/7/query?where=HAVZA_ID%3D22+AND+%28BarajAdi%3D%27YUKARI+MANAHOZ%27%29&amp;outFields=OBJECTID%2CBarajAdi%2CHavzaAdi%2CHAVZA_ID%2CIl&amp;returnGeometry=true&amp;outSR=4326&amp;f=geojson</x:v>
      </x:c>
      <x:c r="AU179" s="133"/>
      <x:c r="AV179" s="133" t="str">
        <x:v>Polyline / LineString</x:v>
      </x:c>
      <x:c r="AW179" s="133"/>
      <x:c r="AX179" s="133" t="str">
        <x:v>Koordinat yok; spatial eşleme yapılamadı</x:v>
      </x:c>
      <x:c r="AY179" s="133" t="str">
        <x:v>Polygon</x:v>
      </x:c>
      <x:c r="AZ179" s="133"/>
      <x:c r="BA179" s="133" t="str">
        <x:v>Santral popup: Su alanını göster</x:v>
      </x:c>
      <x:c r="BB179" s="133" t="str">
        <x:v>Yok</x:v>
      </x:c>
      <x:c r="BC179" s="133" t="str">
        <x:v>TATUS baraj point doğrudan eşleşmesi bu çalışma kitabında çözülmedi; sorgu URL'si eklendi; Koordinat eksik olduğu için akarsu ve su toplama alanı spatial sorgusu üretilemedi</x:v>
      </x:c>
    </x:row>
    <x:row r="180" ht="30" customHeight="1">
      <x:c r="A180" s="102" t="n">
        <x:v>177</x:v>
      </x:c>
      <x:c r="B180" s="103" t="str">
        <x:v>YUSUFELİ HES</x:v>
      </x:c>
      <x:c r="C180" s="103" t="str">
        <x:v>Çoruh</x:v>
      </x:c>
      <x:c r="D180" s="103" t="str">
        <x:v>Çoruh</x:v>
      </x:c>
      <x:c r="E180" s="104" t="n">
        <x:v>23</x:v>
      </x:c>
      <x:c r="F180" s="103" t="str">
        <x:v>https://cbs1.tarimorman.gov.tr/server/rest/services/TATUS/FeatureServer/11/query?where=ID%3D23&amp;outFields=ID%2CHAVZA_ADI%2CALAN_KM2&amp;returnGeometry=true&amp;outSR=4326&amp;f=geojson</x:v>
      </x:c>
      <x:c r="G180" s="103" t="str">
        <x:v>YUSUFELİ</x:v>
      </x:c>
      <x:c r="H180" s="103" t="str">
        <x:v>ARTVİN</x:v>
      </x:c>
      <x:c r="I180" s="105" t="n">
        <x:v>40.82</x:v>
      </x:c>
      <x:c r="J180" s="105" t="n">
        <x:v>41.654</x:v>
      </x:c>
      <x:c r="K180" s="106" t="n">
        <x:v>710</x:v>
      </x:c>
      <x:c r="L180" s="106" t="n">
        <x:v>670</x:v>
      </x:c>
      <x:c r="M180" s="103" t="str">
        <x:v>ARTVİN HES</x:v>
      </x:c>
      <x:c r="N180" s="106" t="n">
        <x:v>558</x:v>
      </x:c>
      <x:c r="O180" s="106"/>
      <x:c r="P180" s="106"/>
      <x:c r="Q180" s="106"/>
      <x:c r="R180" s="106"/>
      <x:c r="S180" s="106"/>
      <x:c r="T180" s="107"/>
      <x:c r="U180" s="103" t="str">
        <x:v>eşleşme yok</x:v>
      </x:c>
      <x:c r="V180" s="103" t="str">
        <x:v>C</x:v>
      </x:c>
      <x:c r="W180" s="103" t="str">
        <x:v>https://enerji.dsi.gov.tr/Haber/Detay/10469</x:v>
      </x:c>
      <x:c r="X180" s="103" t="str">
        <x:v>https://enerji.dsi.gov.tr/Haber/Detay/10469</x:v>
      </x:c>
      <x:c r="Y180" s="103" t="str">
        <x:v>hes_MERKEZI_LISTESI.xlsx — trafo merkezi koordinatı (yaklaşık)</x:v>
      </x:c>
      <x:c r="Z180" s="103" t="str">
        <x:v>ARTVİN HES</x:v>
      </x:c>
      <x:c r="AA180" s="108" t="str">
        <x:v>EPİAŞ su göstergesi eşleşmesi bulunamadı; Koordinat güvenilir açık kaynaktan doğrulanamadı; Ünite debisi doğrulanamadı; Maksimum/minimum hacim doğrulanamadı; Santral/baraj kesin koordinatı doğrulanamadığı için eşleşen trafo merkezi koordinatı harita referansı olarak kullanıldı; kesin HES konumu değildir.</x:v>
      </x:c>
      <x:c r="AB180" s="133" t="str">
        <x:v>Trafo merkezi koordinatı ile tamamlandı</x:v>
      </x:c>
      <x:c r="AC180" s="133" t="str">
        <x:v>Trafo merkezi / elektrik bağlantı noktası (yaklaşık)</x:v>
      </x:c>
      <x:c r="AD180" s="133" t="n">
        <x:v>2170</x:v>
      </x:c>
      <x:c r="AE180" s="133" t="str">
        <x:v>YUSUFELİ HES</x:v>
      </x:c>
      <x:c r="AF180" s="133" t="str">
        <x:v>Artvin</x:v>
      </x:c>
      <x:c r="AG180" s="134" t="n">
        <x:v>40.82</x:v>
      </x:c>
      <x:c r="AH180" s="134" t="n">
        <x:v>41.654</x:v>
      </x:c>
      <x:c r="AI180" s="133" t="str">
        <x:v>Tam ad eşleşmesi</x:v>
      </x:c>
      <x:c r="AJ180" s="133" t="str">
        <x:v>Yüksek</x:v>
      </x:c>
      <x:c r="AK180" s="135"/>
      <x:c r="AL180" s="133" t="str">
        <x:v>Point</x:v>
      </x:c>
      <x:c r="AM180" s="133" t="str">
        <x:v>{"type": "Point", "coordinates": [41.654, 40.82]}</x:v>
      </x:c>
      <x:c r="AN180" s="133" t="str">
        <x:v>Trafo merkezi / elektrik bağlantı noktası (yaklaşık)</x:v>
      </x:c>
      <x:c r="AO180" s="133"/>
      <x:c r="AP180" s="133"/>
      <x:c r="AQ180" s="134"/>
      <x:c r="AR180" s="134"/>
      <x:c r="AS180" s="133"/>
      <x:c r="AT180" s="133" t="str">
        <x:v>https://cbs1.tarimorman.gov.tr/server/rest/services/TATUS/FeatureServer/7/query?where=HAVZA_ID%3D23+AND+%28BarajAdi%3D%27YUSUFEL%C4%B0%27%29&amp;outFields=OBJECTID%2CBarajAdi%2CHavzaAdi%2CHAVZA_ID%2CIl&amp;returnGeometry=true&amp;outSR=4326&amp;f=geojson</x:v>
      </x:c>
      <x:c r="AU180" s="133" t="str">
        <x:v>Çoruh</x:v>
      </x:c>
      <x:c r="AV180" s="133" t="str">
        <x:v>Polyline / LineString</x:v>
      </x:c>
      <x:c r="AW180" s="133" t="str">
        <x:v>https://cbs1.tarimorman.gov.tr/server/rest/services/TATUS/FeatureServer/8/query?where=HAVZA_ID%3D23&amp;geometry=41.654000%2C40.820000&amp;geometryType=esriGeometryPoint&amp;inSR=4326&amp;spatialRel=esriSpatialRelIntersects&amp;distance=5&amp;units=esriSRUnit_Kilometer&amp;outFields=OBJECTID%2Cadi%2Cnehir_kod%2Cstrahler%2Cuzunluk%2CHAVZA_ID&amp;returnGeometry=true&amp;outSR=4326&amp;orderByFields=strahler+DESC&amp;resultRecordCount=20&amp;f=geojson</x:v>
      </x:c>
      <x:c r="AX180" s="133" t="str">
        <x:v>Havza ana akarsuyu ön-eşleme; TATUS spatial query ile doğrulanmalı</x:v>
      </x:c>
      <x:c r="AY180" s="133" t="str">
        <x:v>Polygon</x:v>
      </x:c>
      <x:c r="AZ180" s="133" t="str">
        <x:v>https://cbs1.tarimorman.gov.tr/server/rest/services/TATUS/FeatureServer/9/query?where=1%3D1&amp;geometry=41.654000%2C40.820000&amp;geometryType=esriGeometryPoint&amp;inSR=4326&amp;spatialRel=esriSpatialRelIntersects&amp;outFields=%2A&amp;returnGeometry=true&amp;outSR=4326&amp;resultRecordCount=5&amp;f=geojson</x:v>
      </x:c>
      <x:c r="BA180" s="133" t="str">
        <x:v>Santral popup: Su alanını göster</x:v>
      </x:c>
      <x:c r="BB180" s="133" t="str">
        <x:v>Orta-Düşük</x:v>
      </x:c>
      <x:c r="BC180" s="133" t="str">
        <x:v>TATUS baraj point doğrudan eşleşmesi bu çalışma kitabında çözülmedi; sorgu URL'si eklendi; Akarsu/catchment sorgusu yaklaşık trafo noktasına dayanır; santral/baraj noktası ile doğrulanmalı</x:v>
      </x:c>
    </x:row>
  </x:sheetData>
  <x:mergeCells>
    <x:mergeCell ref="A1:BC1"/>
    <x:mergeCell ref="A2:BC2"/>
  </x:mergeCells>
  <x:conditionalFormatting sqref="V4:V180">
    <x:cfRule type="expression" dxfId="0" priority="1">
      <x:formula>V4="A"</x:formula>
    </x:cfRule>
    <x:cfRule type="expression" dxfId="1" priority="2">
      <x:formula>V4="B"</x:formula>
    </x:cfRule>
    <x:cfRule type="expression" dxfId="2" priority="3">
      <x:formula>V4="C"</x:formula>
    </x:cfRule>
  </x:conditionalFormatting>
  <x:conditionalFormatting sqref="N4:N180">
    <x:cfRule type="dataBar" priority="4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{0CEF8265-A6B3-B6D2-AD89-DB70F848EE7D}</x14:id>
        </x:ext>
      </x:extLst>
    </x:cfRule>
  </x:conditionalFormatting>
  <x:conditionalFormatting sqref="AB4:AB180">
    <x:cfRule type="expression" dxfId="3" priority="5">
      <x:formula>AB4="Doğrulanmış koordinat mevcut"</x:formula>
    </x:cfRule>
    <x:cfRule type="expression" dxfId="4" priority="6">
      <x:formula>AB4="Trafo merkezi koordinatı ile tamamlandı"</x:formula>
    </x:cfRule>
    <x:cfRule type="expression" dxfId="5" priority="7">
      <x:formula>AB4="Koordinat eksik"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1adc0b1b57444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CEF8265-A6B3-B6D2-AD89-DB70F848EE7D}">
            <x14:dataBar gradient="1">
              <x14:cfvo type="min"/>
              <x14:cfvo type="max"/>
              <x14:fillColor rgb="FF2A9D8F"/>
            </x14:dataBar>
          </x14:cfRule>
          <xm:sqref>N4:N180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20" hidden="0" customWidth="1"/>
    <x:col min="5" max="5" width="18" hidden="0" customWidth="1"/>
    <x:col min="6" max="6" width="16" hidden="0" customWidth="1"/>
    <x:col min="7" max="7" width="18" hidden="0" customWidth="1"/>
    <x:col min="8" max="8" width="48" hidden="0" customWidth="1"/>
  </x:cols>
  <x:sheetData>
    <x:row r="1">
      <x:c r="A1" s="5" t="str">
        <x:v>Havza Bazlı 177 HES Özeti</x:v>
      </x:c>
      <x:c r="B1" s="5"/>
      <x:c r="C1" s="5"/>
      <x:c r="D1" s="5"/>
      <x:c r="E1" s="5"/>
      <x:c r="F1" s="5"/>
      <x:c r="G1" s="5"/>
      <x:c r="H1" s="5"/>
    </x:row>
    <x:row r="3" ht="34" customHeight="1">
      <x:c r="A3" s="74" t="str">
        <x:v>Havza ID</x:v>
      </x:c>
      <x:c r="B3" s="75" t="str">
        <x:v>Havza (TATUS)</x:v>
      </x:c>
      <x:c r="C3" s="75" t="str">
        <x:v>HES Sayısı</x:v>
      </x:c>
      <x:c r="D3" s="75" t="str">
        <x:v>Kurulu Güç Toplamı (MW)</x:v>
      </x:c>
      <x:c r="E3" s="75" t="str">
        <x:v>Ünite Debisi Bulunan</x:v>
      </x:c>
      <x:c r="F3" s="75" t="str">
        <x:v>Koordinatlı HES</x:v>
      </x:c>
      <x:c r="G3" s="75" t="str">
        <x:v>Aktif Hacim Bulunan</x:v>
      </x:c>
      <x:c r="H3" s="99" t="str">
        <x:v>GeoJSON Poligon</x:v>
      </x:c>
    </x:row>
    <x:row r="4">
      <x:c r="A4" s="119" t="n">
        <x:v>1</x:v>
      </x:c>
      <x:c r="B4" s="29" t="str">
        <x:v>Meriç-Ergene</x:v>
      </x:c>
      <x:c r="C4" s="29" t="n">
        <x:f>COUNTIF(HES_177!$D$4:$D$180,B4)</x:f>
        <x:v>0</x:v>
      </x:c>
      <x:c r="D4" s="51" t="n">
        <x:f>SUMIF(HES_177!$D$4:$D$180,B4,HES_177!$N$4:$N$180)</x:f>
        <x:v>0</x:v>
      </x:c>
      <x:c r="E4" s="29" t="n">
        <x:f>COUNTIFS(HES_177!$D$4:$D$180,B4,HES_177!$O$4:$O$180,"&gt;0")</x:f>
        <x:v>0</x:v>
      </x:c>
      <x:c r="F4" s="29" t="n">
        <x:f>COUNTIFS(HES_177!$D$4:$D$180,B4,HES_177!$I$4:$I$180,"&lt;&gt;")</x:f>
        <x:v>0</x:v>
      </x:c>
      <x:c r="G4" s="29" t="n">
        <x:f>COUNTIFS(HES_177!$D$4:$D$180,B4,HES_177!$R$4:$R$180,"&gt;0")</x:f>
        <x:v>0</x:v>
      </x:c>
      <x:c r="H4" s="101" t="str">
        <x:v>https://cbs1.tarimorman.gov.tr/server/rest/services/TATUS/FeatureServer/11/query?where=ID%3D1&amp;outFields=ID%2CHAVZA_ADI%2CALAN_KM2&amp;returnGeometry=true&amp;outSR=4326&amp;f=geojson</x:v>
      </x:c>
    </x:row>
    <x:row r="5">
      <x:c r="A5" s="119" t="n">
        <x:v>2</x:v>
      </x:c>
      <x:c r="B5" s="29" t="str">
        <x:v>Marmara</x:v>
      </x:c>
      <x:c r="C5" s="29" t="n">
        <x:f>COUNTIF(HES_177!$D$4:$D$180,B5)</x:f>
        <x:v>1</x:v>
      </x:c>
      <x:c r="D5" s="51" t="n">
        <x:f>SUMIF(HES_177!$D$4:$D$180,B5,HES_177!$N$4:$N$180)</x:f>
        <x:v>10.6</x:v>
      </x:c>
      <x:c r="E5" s="29" t="n">
        <x:f>COUNTIFS(HES_177!$D$4:$D$180,B5,HES_177!$O$4:$O$180,"&gt;0")</x:f>
        <x:v>1</x:v>
      </x:c>
      <x:c r="F5" s="29" t="n">
        <x:f>COUNTIFS(HES_177!$D$4:$D$180,B5,HES_177!$I$4:$I$180,"&lt;&gt;")</x:f>
        <x:v>0</x:v>
      </x:c>
      <x:c r="G5" s="29" t="n">
        <x:f>COUNTIFS(HES_177!$D$4:$D$180,B5,HES_177!$R$4:$R$180,"&gt;0")</x:f>
        <x:v>1</x:v>
      </x:c>
      <x:c r="H5" s="101" t="str">
        <x:v>https://cbs1.tarimorman.gov.tr/server/rest/services/TATUS/FeatureServer/11/query?where=ID%3D2&amp;outFields=ID%2CHAVZA_ADI%2CALAN_KM2&amp;returnGeometry=true&amp;outSR=4326&amp;f=geojson</x:v>
      </x:c>
    </x:row>
    <x:row r="6">
      <x:c r="A6" s="119" t="n">
        <x:v>3</x:v>
      </x:c>
      <x:c r="B6" s="29" t="str">
        <x:v>Susurluk</x:v>
      </x:c>
      <x:c r="C6" s="29" t="n">
        <x:f>COUNTIF(HES_177!$D$4:$D$180,B6)</x:f>
        <x:v>5</x:v>
      </x:c>
      <x:c r="D6" s="51" t="n">
        <x:f>SUMIF(HES_177!$D$4:$D$180,B6,HES_177!$N$4:$N$180)</x:f>
        <x:v>163.1</x:v>
      </x:c>
      <x:c r="E6" s="29" t="n">
        <x:f>COUNTIFS(HES_177!$D$4:$D$180,B6,HES_177!$O$4:$O$180,"&gt;0")</x:f>
        <x:v>4</x:v>
      </x:c>
      <x:c r="F6" s="29" t="n">
        <x:f>COUNTIFS(HES_177!$D$4:$D$180,B6,HES_177!$I$4:$I$180,"&lt;&gt;")</x:f>
        <x:v>3</x:v>
      </x:c>
      <x:c r="G6" s="29" t="n">
        <x:f>COUNTIFS(HES_177!$D$4:$D$180,B6,HES_177!$R$4:$R$180,"&gt;0")</x:f>
        <x:v>4</x:v>
      </x:c>
      <x:c r="H6" s="101" t="str">
        <x:v>https://cbs1.tarimorman.gov.tr/server/rest/services/TATUS/FeatureServer/11/query?where=ID%3D3&amp;outFields=ID%2CHAVZA_ADI%2CALAN_KM2&amp;returnGeometry=true&amp;outSR=4326&amp;f=geojson</x:v>
      </x:c>
    </x:row>
    <x:row r="7">
      <x:c r="A7" s="119" t="n">
        <x:v>4</x:v>
      </x:c>
      <x:c r="B7" s="29" t="str">
        <x:v>Kuzey Ege</x:v>
      </x:c>
      <x:c r="C7" s="29" t="n">
        <x:f>COUNTIF(HES_177!$D$4:$D$180,B7)</x:f>
        <x:v>1</x:v>
      </x:c>
      <x:c r="D7" s="51" t="n">
        <x:f>SUMIF(HES_177!$D$4:$D$180,B7,HES_177!$N$4:$N$180)</x:f>
        <x:v>1.8</x:v>
      </x:c>
      <x:c r="E7" s="29" t="n">
        <x:f>COUNTIFS(HES_177!$D$4:$D$180,B7,HES_177!$O$4:$O$180,"&gt;0")</x:f>
        <x:v>1</x:v>
      </x:c>
      <x:c r="F7" s="29" t="n">
        <x:f>COUNTIFS(HES_177!$D$4:$D$180,B7,HES_177!$I$4:$I$180,"&lt;&gt;")</x:f>
        <x:v>1</x:v>
      </x:c>
      <x:c r="G7" s="29" t="n">
        <x:f>COUNTIFS(HES_177!$D$4:$D$180,B7,HES_177!$R$4:$R$180,"&gt;0")</x:f>
        <x:v>1</x:v>
      </x:c>
      <x:c r="H7" s="101" t="str">
        <x:v>https://cbs1.tarimorman.gov.tr/server/rest/services/TATUS/FeatureServer/11/query?where=ID%3D4&amp;outFields=ID%2CHAVZA_ADI%2CALAN_KM2&amp;returnGeometry=true&amp;outSR=4326&amp;f=geojson</x:v>
      </x:c>
    </x:row>
    <x:row r="8">
      <x:c r="A8" s="119" t="n">
        <x:v>5</x:v>
      </x:c>
      <x:c r="B8" s="29" t="str">
        <x:v>Gediz</x:v>
      </x:c>
      <x:c r="C8" s="29" t="n">
        <x:f>COUNTIF(HES_177!$D$4:$D$180,B8)</x:f>
        <x:v>1</x:v>
      </x:c>
      <x:c r="D8" s="51" t="n">
        <x:f>SUMIF(HES_177!$D$4:$D$180,B8,HES_177!$N$4:$N$180)</x:f>
        <x:v>69</x:v>
      </x:c>
      <x:c r="E8" s="29" t="n">
        <x:f>COUNTIFS(HES_177!$D$4:$D$180,B8,HES_177!$O$4:$O$180,"&gt;0")</x:f>
        <x:v>1</x:v>
      </x:c>
      <x:c r="F8" s="29" t="n">
        <x:f>COUNTIFS(HES_177!$D$4:$D$180,B8,HES_177!$I$4:$I$180,"&lt;&gt;")</x:f>
        <x:v>1</x:v>
      </x:c>
      <x:c r="G8" s="29" t="n">
        <x:f>COUNTIFS(HES_177!$D$4:$D$180,B8,HES_177!$R$4:$R$180,"&gt;0")</x:f>
        <x:v>1</x:v>
      </x:c>
      <x:c r="H8" s="101" t="str">
        <x:v>https://cbs1.tarimorman.gov.tr/server/rest/services/TATUS/FeatureServer/11/query?where=ID%3D5&amp;outFields=ID%2CHAVZA_ADI%2CALAN_KM2&amp;returnGeometry=true&amp;outSR=4326&amp;f=geojson</x:v>
      </x:c>
    </x:row>
    <x:row r="9">
      <x:c r="A9" s="119" t="n">
        <x:v>6</x:v>
      </x:c>
      <x:c r="B9" s="29" t="str">
        <x:v>Küçük Menderes</x:v>
      </x:c>
      <x:c r="C9" s="29" t="n">
        <x:f>COUNTIF(HES_177!$D$4:$D$180,B9)</x:f>
        <x:v>0</x:v>
      </x:c>
      <x:c r="D9" s="51" t="n">
        <x:f>SUMIF(HES_177!$D$4:$D$180,B9,HES_177!$N$4:$N$180)</x:f>
        <x:v>0</x:v>
      </x:c>
      <x:c r="E9" s="29" t="n">
        <x:f>COUNTIFS(HES_177!$D$4:$D$180,B9,HES_177!$O$4:$O$180,"&gt;0")</x:f>
        <x:v>0</x:v>
      </x:c>
      <x:c r="F9" s="29" t="n">
        <x:f>COUNTIFS(HES_177!$D$4:$D$180,B9,HES_177!$I$4:$I$180,"&lt;&gt;")</x:f>
        <x:v>0</x:v>
      </x:c>
      <x:c r="G9" s="29" t="n">
        <x:f>COUNTIFS(HES_177!$D$4:$D$180,B9,HES_177!$R$4:$R$180,"&gt;0")</x:f>
        <x:v>0</x:v>
      </x:c>
      <x:c r="H9" s="101" t="str">
        <x:v>https://cbs1.tarimorman.gov.tr/server/rest/services/TATUS/FeatureServer/11/query?where=ID%3D6&amp;outFields=ID%2CHAVZA_ADI%2CALAN_KM2&amp;returnGeometry=true&amp;outSR=4326&amp;f=geojson</x:v>
      </x:c>
    </x:row>
    <x:row r="10">
      <x:c r="A10" s="119" t="n">
        <x:v>7</x:v>
      </x:c>
      <x:c r="B10" s="29" t="str">
        <x:v>Büyük Menderes</x:v>
      </x:c>
      <x:c r="C10" s="29" t="n">
        <x:f>COUNTIF(HES_177!$D$4:$D$180,B10)</x:f>
        <x:v>7</x:v>
      </x:c>
      <x:c r="D10" s="51" t="n">
        <x:f>SUMIF(HES_177!$D$4:$D$180,B10,HES_177!$N$4:$N$180)</x:f>
        <x:v>278.1</x:v>
      </x:c>
      <x:c r="E10" s="29" t="n">
        <x:f>COUNTIFS(HES_177!$D$4:$D$180,B10,HES_177!$O$4:$O$180,"&gt;0")</x:f>
        <x:v>6</x:v>
      </x:c>
      <x:c r="F10" s="29" t="n">
        <x:f>COUNTIFS(HES_177!$D$4:$D$180,B10,HES_177!$I$4:$I$180,"&lt;&gt;")</x:f>
        <x:v>6</x:v>
      </x:c>
      <x:c r="G10" s="29" t="n">
        <x:f>COUNTIFS(HES_177!$D$4:$D$180,B10,HES_177!$R$4:$R$180,"&gt;0")</x:f>
        <x:v>5</x:v>
      </x:c>
      <x:c r="H10" s="101" t="str">
        <x:v>https://cbs1.tarimorman.gov.tr/server/rest/services/TATUS/FeatureServer/11/query?where=ID%3D7&amp;outFields=ID%2CHAVZA_ADI%2CALAN_KM2&amp;returnGeometry=true&amp;outSR=4326&amp;f=geojson</x:v>
      </x:c>
    </x:row>
    <x:row r="11">
      <x:c r="A11" s="119" t="n">
        <x:v>8</x:v>
      </x:c>
      <x:c r="B11" s="29" t="str">
        <x:v>Batı Akdeniz</x:v>
      </x:c>
      <x:c r="C11" s="29" t="n">
        <x:f>COUNTIF(HES_177!$D$4:$D$180,B11)</x:f>
        <x:v>3</x:v>
      </x:c>
      <x:c r="D11" s="51" t="n">
        <x:f>SUMIF(HES_177!$D$4:$D$180,B11,HES_177!$N$4:$N$180)</x:f>
        <x:v>125.86</x:v>
      </x:c>
      <x:c r="E11" s="29" t="n">
        <x:f>COUNTIFS(HES_177!$D$4:$D$180,B11,HES_177!$O$4:$O$180,"&gt;0")</x:f>
        <x:v>2</x:v>
      </x:c>
      <x:c r="F11" s="29" t="n">
        <x:f>COUNTIFS(HES_177!$D$4:$D$180,B11,HES_177!$I$4:$I$180,"&lt;&gt;")</x:f>
        <x:v>1</x:v>
      </x:c>
      <x:c r="G11" s="29" t="n">
        <x:f>COUNTIFS(HES_177!$D$4:$D$180,B11,HES_177!$R$4:$R$180,"&gt;0")</x:f>
        <x:v>2</x:v>
      </x:c>
      <x:c r="H11" s="101" t="str">
        <x:v>https://cbs1.tarimorman.gov.tr/server/rest/services/TATUS/FeatureServer/11/query?where=ID%3D8&amp;outFields=ID%2CHAVZA_ADI%2CALAN_KM2&amp;returnGeometry=true&amp;outSR=4326&amp;f=geojson</x:v>
      </x:c>
    </x:row>
    <x:row r="12">
      <x:c r="A12" s="119" t="n">
        <x:v>9</x:v>
      </x:c>
      <x:c r="B12" s="29" t="str">
        <x:v>Antalya</x:v>
      </x:c>
      <x:c r="C12" s="29" t="n">
        <x:f>COUNTIF(HES_177!$D$4:$D$180,B12)</x:f>
        <x:v>9</x:v>
      </x:c>
      <x:c r="D12" s="51" t="n">
        <x:f>SUMIF(HES_177!$D$4:$D$180,B12,HES_177!$N$4:$N$180)</x:f>
        <x:v>770.4300000000001</x:v>
      </x:c>
      <x:c r="E12" s="29" t="n">
        <x:f>COUNTIFS(HES_177!$D$4:$D$180,B12,HES_177!$O$4:$O$180,"&gt;0")</x:f>
        <x:v>6</x:v>
      </x:c>
      <x:c r="F12" s="29" t="n">
        <x:f>COUNTIFS(HES_177!$D$4:$D$180,B12,HES_177!$I$4:$I$180,"&lt;&gt;")</x:f>
        <x:v>5</x:v>
      </x:c>
      <x:c r="G12" s="29" t="n">
        <x:f>COUNTIFS(HES_177!$D$4:$D$180,B12,HES_177!$R$4:$R$180,"&gt;0")</x:f>
        <x:v>5</x:v>
      </x:c>
      <x:c r="H12" s="101" t="str">
        <x:v>https://cbs1.tarimorman.gov.tr/server/rest/services/TATUS/FeatureServer/11/query?where=ID%3D9&amp;outFields=ID%2CHAVZA_ADI%2CALAN_KM2&amp;returnGeometry=true&amp;outSR=4326&amp;f=geojson</x:v>
      </x:c>
    </x:row>
    <x:row r="13">
      <x:c r="A13" s="119" t="n">
        <x:v>10</x:v>
      </x:c>
      <x:c r="B13" s="29" t="str">
        <x:v>Burdur</x:v>
      </x:c>
      <x:c r="C13" s="29" t="n">
        <x:f>COUNTIF(HES_177!$D$4:$D$180,B13)</x:f>
        <x:v>0</x:v>
      </x:c>
      <x:c r="D13" s="51" t="n">
        <x:f>SUMIF(HES_177!$D$4:$D$180,B13,HES_177!$N$4:$N$180)</x:f>
        <x:v>0</x:v>
      </x:c>
      <x:c r="E13" s="29" t="n">
        <x:f>COUNTIFS(HES_177!$D$4:$D$180,B13,HES_177!$O$4:$O$180,"&gt;0")</x:f>
        <x:v>0</x:v>
      </x:c>
      <x:c r="F13" s="29" t="n">
        <x:f>COUNTIFS(HES_177!$D$4:$D$180,B13,HES_177!$I$4:$I$180,"&lt;&gt;")</x:f>
        <x:v>0</x:v>
      </x:c>
      <x:c r="G13" s="29" t="n">
        <x:f>COUNTIFS(HES_177!$D$4:$D$180,B13,HES_177!$R$4:$R$180,"&gt;0")</x:f>
        <x:v>0</x:v>
      </x:c>
      <x:c r="H13" s="101" t="str">
        <x:v>https://cbs1.tarimorman.gov.tr/server/rest/services/TATUS/FeatureServer/11/query?where=ID%3D10&amp;outFields=ID%2CHAVZA_ADI%2CALAN_KM2&amp;returnGeometry=true&amp;outSR=4326&amp;f=geojson</x:v>
      </x:c>
    </x:row>
    <x:row r="14">
      <x:c r="A14" s="119" t="n">
        <x:v>11</x:v>
      </x:c>
      <x:c r="B14" s="29" t="str">
        <x:v>Akarçay</x:v>
      </x:c>
      <x:c r="C14" s="29" t="n">
        <x:f>COUNTIF(HES_177!$D$4:$D$180,B14)</x:f>
        <x:v>0</x:v>
      </x:c>
      <x:c r="D14" s="51" t="n">
        <x:f>SUMIF(HES_177!$D$4:$D$180,B14,HES_177!$N$4:$N$180)</x:f>
        <x:v>0</x:v>
      </x:c>
      <x:c r="E14" s="29" t="n">
        <x:f>COUNTIFS(HES_177!$D$4:$D$180,B14,HES_177!$O$4:$O$180,"&gt;0")</x:f>
        <x:v>0</x:v>
      </x:c>
      <x:c r="F14" s="29" t="n">
        <x:f>COUNTIFS(HES_177!$D$4:$D$180,B14,HES_177!$I$4:$I$180,"&lt;&gt;")</x:f>
        <x:v>0</x:v>
      </x:c>
      <x:c r="G14" s="29" t="n">
        <x:f>COUNTIFS(HES_177!$D$4:$D$180,B14,HES_177!$R$4:$R$180,"&gt;0")</x:f>
        <x:v>0</x:v>
      </x:c>
      <x:c r="H14" s="101" t="str">
        <x:v>https://cbs1.tarimorman.gov.tr/server/rest/services/TATUS/FeatureServer/11/query?where=ID%3D11&amp;outFields=ID%2CHAVZA_ADI%2CALAN_KM2&amp;returnGeometry=true&amp;outSR=4326&amp;f=geojson</x:v>
      </x:c>
    </x:row>
    <x:row r="15">
      <x:c r="A15" s="119" t="n">
        <x:v>12</x:v>
      </x:c>
      <x:c r="B15" s="29" t="str">
        <x:v>Sakarya</x:v>
      </x:c>
      <x:c r="C15" s="29" t="n">
        <x:f>COUNTIF(HES_177!$D$4:$D$180,B15)</x:f>
        <x:v>5</x:v>
      </x:c>
      <x:c r="D15" s="51" t="n">
        <x:f>SUMIF(HES_177!$D$4:$D$180,B15,HES_177!$N$4:$N$180)</x:f>
        <x:v>612.9</x:v>
      </x:c>
      <x:c r="E15" s="29" t="n">
        <x:f>COUNTIFS(HES_177!$D$4:$D$180,B15,HES_177!$O$4:$O$180,"&gt;0")</x:f>
        <x:v>5</x:v>
      </x:c>
      <x:c r="F15" s="29" t="n">
        <x:f>COUNTIFS(HES_177!$D$4:$D$180,B15,HES_177!$I$4:$I$180,"&lt;&gt;")</x:f>
        <x:v>5</x:v>
      </x:c>
      <x:c r="G15" s="29" t="n">
        <x:f>COUNTIFS(HES_177!$D$4:$D$180,B15,HES_177!$R$4:$R$180,"&gt;0")</x:f>
        <x:v>4</x:v>
      </x:c>
      <x:c r="H15" s="101" t="str">
        <x:v>https://cbs1.tarimorman.gov.tr/server/rest/services/TATUS/FeatureServer/11/query?where=ID%3D12&amp;outFields=ID%2CHAVZA_ADI%2CALAN_KM2&amp;returnGeometry=true&amp;outSR=4326&amp;f=geojson</x:v>
      </x:c>
    </x:row>
    <x:row r="16">
      <x:c r="A16" s="119" t="n">
        <x:v>13</x:v>
      </x:c>
      <x:c r="B16" s="29" t="str">
        <x:v>Batı Karadeniz</x:v>
      </x:c>
      <x:c r="C16" s="29" t="n">
        <x:f>COUNTIF(HES_177!$D$4:$D$180,B16)</x:f>
        <x:v>5</x:v>
      </x:c>
      <x:c r="D16" s="51" t="n">
        <x:f>SUMIF(HES_177!$D$4:$D$180,B16,HES_177!$N$4:$N$180)</x:f>
        <x:v>133.4</x:v>
      </x:c>
      <x:c r="E16" s="29" t="n">
        <x:f>COUNTIFS(HES_177!$D$4:$D$180,B16,HES_177!$O$4:$O$180,"&gt;0")</x:f>
        <x:v>4</x:v>
      </x:c>
      <x:c r="F16" s="29" t="n">
        <x:f>COUNTIFS(HES_177!$D$4:$D$180,B16,HES_177!$I$4:$I$180,"&lt;&gt;")</x:f>
        <x:v>4</x:v>
      </x:c>
      <x:c r="G16" s="29" t="n">
        <x:f>COUNTIFS(HES_177!$D$4:$D$180,B16,HES_177!$R$4:$R$180,"&gt;0")</x:f>
        <x:v>4</x:v>
      </x:c>
      <x:c r="H16" s="101" t="str">
        <x:v>https://cbs1.tarimorman.gov.tr/server/rest/services/TATUS/FeatureServer/11/query?where=ID%3D13&amp;outFields=ID%2CHAVZA_ADI%2CALAN_KM2&amp;returnGeometry=true&amp;outSR=4326&amp;f=geojson</x:v>
      </x:c>
    </x:row>
    <x:row r="17">
      <x:c r="A17" s="119" t="n">
        <x:v>14</x:v>
      </x:c>
      <x:c r="B17" s="29" t="str">
        <x:v>Yeşilırmak</x:v>
      </x:c>
      <x:c r="C17" s="29" t="n">
        <x:f>COUNTIF(HES_177!$D$4:$D$180,B17)</x:f>
        <x:v>18</x:v>
      </x:c>
      <x:c r="D17" s="51" t="n">
        <x:f>SUMIF(HES_177!$D$4:$D$180,B17,HES_177!$N$4:$N$180)</x:f>
        <x:v>1094.74</x:v>
      </x:c>
      <x:c r="E17" s="29" t="n">
        <x:f>COUNTIFS(HES_177!$D$4:$D$180,B17,HES_177!$O$4:$O$180,"&gt;0")</x:f>
        <x:v>12</x:v>
      </x:c>
      <x:c r="F17" s="29" t="n">
        <x:f>COUNTIFS(HES_177!$D$4:$D$180,B17,HES_177!$I$4:$I$180,"&lt;&gt;")</x:f>
        <x:v>16</x:v>
      </x:c>
      <x:c r="G17" s="29" t="n">
        <x:f>COUNTIFS(HES_177!$D$4:$D$180,B17,HES_177!$R$4:$R$180,"&gt;0")</x:f>
        <x:v>9</x:v>
      </x:c>
      <x:c r="H17" s="101" t="str">
        <x:v>https://cbs1.tarimorman.gov.tr/server/rest/services/TATUS/FeatureServer/11/query?where=ID%3D14&amp;outFields=ID%2CHAVZA_ADI%2CALAN_KM2&amp;returnGeometry=true&amp;outSR=4326&amp;f=geojson</x:v>
      </x:c>
    </x:row>
    <x:row r="18">
      <x:c r="A18" s="119" t="n">
        <x:v>15</x:v>
      </x:c>
      <x:c r="B18" s="29" t="str">
        <x:v>Kızılırmak</x:v>
      </x:c>
      <x:c r="C18" s="29" t="n">
        <x:f>COUNTIF(HES_177!$D$4:$D$180,B18)</x:f>
        <x:v>11</x:v>
      </x:c>
      <x:c r="D18" s="51" t="n">
        <x:f>SUMIF(HES_177!$D$4:$D$180,B18,HES_177!$N$4:$N$180)</x:f>
        <x:v>1503.7</x:v>
      </x:c>
      <x:c r="E18" s="29" t="n">
        <x:f>COUNTIFS(HES_177!$D$4:$D$180,B18,HES_177!$O$4:$O$180,"&gt;0")</x:f>
        <x:v>11</x:v>
      </x:c>
      <x:c r="F18" s="29" t="n">
        <x:f>COUNTIFS(HES_177!$D$4:$D$180,B18,HES_177!$I$4:$I$180,"&lt;&gt;")</x:f>
        <x:v>11</x:v>
      </x:c>
      <x:c r="G18" s="29" t="n">
        <x:f>COUNTIFS(HES_177!$D$4:$D$180,B18,HES_177!$R$4:$R$180,"&gt;0")</x:f>
        <x:v>11</x:v>
      </x:c>
      <x:c r="H18" s="101" t="str">
        <x:v>https://cbs1.tarimorman.gov.tr/server/rest/services/TATUS/FeatureServer/11/query?where=ID%3D15&amp;outFields=ID%2CHAVZA_ADI%2CALAN_KM2&amp;returnGeometry=true&amp;outSR=4326&amp;f=geojson</x:v>
      </x:c>
    </x:row>
    <x:row r="19">
      <x:c r="A19" s="119" t="n">
        <x:v>16</x:v>
      </x:c>
      <x:c r="B19" s="29" t="str">
        <x:v>Konya Kapalı</x:v>
      </x:c>
      <x:c r="C19" s="29" t="n">
        <x:f>COUNTIF(HES_177!$D$4:$D$180,B19)</x:f>
        <x:v>1</x:v>
      </x:c>
      <x:c r="D19" s="51" t="n">
        <x:f>SUMIF(HES_177!$D$4:$D$180,B19,HES_177!$N$4:$N$180)</x:f>
        <x:v>18.838</x:v>
      </x:c>
      <x:c r="E19" s="29" t="n">
        <x:f>COUNTIFS(HES_177!$D$4:$D$180,B19,HES_177!$O$4:$O$180,"&gt;0")</x:f>
        <x:v>0</x:v>
      </x:c>
      <x:c r="F19" s="29" t="n">
        <x:f>COUNTIFS(HES_177!$D$4:$D$180,B19,HES_177!$I$4:$I$180,"&lt;&gt;")</x:f>
        <x:v>0</x:v>
      </x:c>
      <x:c r="G19" s="29" t="n">
        <x:f>COUNTIFS(HES_177!$D$4:$D$180,B19,HES_177!$R$4:$R$180,"&gt;0")</x:f>
        <x:v>0</x:v>
      </x:c>
      <x:c r="H19" s="101" t="str">
        <x:v>https://cbs1.tarimorman.gov.tr/server/rest/services/TATUS/FeatureServer/11/query?where=ID%3D16&amp;outFields=ID%2CHAVZA_ADI%2CALAN_KM2&amp;returnGeometry=true&amp;outSR=4326&amp;f=geojson</x:v>
      </x:c>
    </x:row>
    <x:row r="20">
      <x:c r="A20" s="119" t="n">
        <x:v>17</x:v>
      </x:c>
      <x:c r="B20" s="29" t="str">
        <x:v>Doğu Akdeniz</x:v>
      </x:c>
      <x:c r="C20" s="29" t="n">
        <x:f>COUNTIF(HES_177!$D$4:$D$180,B20)</x:f>
        <x:v>8</x:v>
      </x:c>
      <x:c r="D20" s="51" t="n">
        <x:f>SUMIF(HES_177!$D$4:$D$180,B20,HES_177!$N$4:$N$180)</x:f>
        <x:v>716</x:v>
      </x:c>
      <x:c r="E20" s="29" t="n">
        <x:f>COUNTIFS(HES_177!$D$4:$D$180,B20,HES_177!$O$4:$O$180,"&gt;0")</x:f>
        <x:v>6</x:v>
      </x:c>
      <x:c r="F20" s="29" t="n">
        <x:f>COUNTIFS(HES_177!$D$4:$D$180,B20,HES_177!$I$4:$I$180,"&lt;&gt;")</x:f>
        <x:v>7</x:v>
      </x:c>
      <x:c r="G20" s="29" t="n">
        <x:f>COUNTIFS(HES_177!$D$4:$D$180,B20,HES_177!$R$4:$R$180,"&gt;0")</x:f>
        <x:v>6</x:v>
      </x:c>
      <x:c r="H20" s="101" t="str">
        <x:v>https://cbs1.tarimorman.gov.tr/server/rest/services/TATUS/FeatureServer/11/query?where=ID%3D17&amp;outFields=ID%2CHAVZA_ADI%2CALAN_KM2&amp;returnGeometry=true&amp;outSR=4326&amp;f=geojson</x:v>
      </x:c>
    </x:row>
    <x:row r="21">
      <x:c r="A21" s="119" t="n">
        <x:v>18</x:v>
      </x:c>
      <x:c r="B21" s="29" t="str">
        <x:v>Seyhan</x:v>
      </x:c>
      <x:c r="C21" s="29" t="n">
        <x:f>COUNTIF(HES_177!$D$4:$D$180,B21)</x:f>
        <x:v>11</x:v>
      </x:c>
      <x:c r="D21" s="51" t="n">
        <x:f>SUMIF(HES_177!$D$4:$D$180,B21,HES_177!$N$4:$N$180)</x:f>
        <x:v>1197.34</x:v>
      </x:c>
      <x:c r="E21" s="29" t="n">
        <x:f>COUNTIFS(HES_177!$D$4:$D$180,B21,HES_177!$O$4:$O$180,"&gt;0")</x:f>
        <x:v>10</x:v>
      </x:c>
      <x:c r="F21" s="29" t="n">
        <x:f>COUNTIFS(HES_177!$D$4:$D$180,B21,HES_177!$I$4:$I$180,"&lt;&gt;")</x:f>
        <x:v>10</x:v>
      </x:c>
      <x:c r="G21" s="29" t="n">
        <x:f>COUNTIFS(HES_177!$D$4:$D$180,B21,HES_177!$R$4:$R$180,"&gt;0")</x:f>
        <x:v>9</x:v>
      </x:c>
      <x:c r="H21" s="101" t="str">
        <x:v>https://cbs1.tarimorman.gov.tr/server/rest/services/TATUS/FeatureServer/11/query?where=ID%3D18&amp;outFields=ID%2CHAVZA_ADI%2CALAN_KM2&amp;returnGeometry=true&amp;outSR=4326&amp;f=geojson</x:v>
      </x:c>
    </x:row>
    <x:row r="22">
      <x:c r="A22" s="119" t="n">
        <x:v>19</x:v>
      </x:c>
      <x:c r="B22" s="29" t="str">
        <x:v>Asi</x:v>
      </x:c>
      <x:c r="C22" s="29" t="n">
        <x:f>COUNTIF(HES_177!$D$4:$D$180,B22)</x:f>
        <x:v>1</x:v>
      </x:c>
      <x:c r="D22" s="51" t="n">
        <x:f>SUMIF(HES_177!$D$4:$D$180,B22,HES_177!$N$4:$N$180)</x:f>
        <x:v>3.3</x:v>
      </x:c>
      <x:c r="E22" s="29" t="n">
        <x:f>COUNTIFS(HES_177!$D$4:$D$180,B22,HES_177!$O$4:$O$180,"&gt;0")</x:f>
        <x:v>1</x:v>
      </x:c>
      <x:c r="F22" s="29" t="n">
        <x:f>COUNTIFS(HES_177!$D$4:$D$180,B22,HES_177!$I$4:$I$180,"&lt;&gt;")</x:f>
        <x:v>1</x:v>
      </x:c>
      <x:c r="G22" s="29" t="n">
        <x:f>COUNTIFS(HES_177!$D$4:$D$180,B22,HES_177!$R$4:$R$180,"&gt;0")</x:f>
        <x:v>1</x:v>
      </x:c>
      <x:c r="H22" s="101" t="str">
        <x:v>https://cbs1.tarimorman.gov.tr/server/rest/services/TATUS/FeatureServer/11/query?where=ID%3D19&amp;outFields=ID%2CHAVZA_ADI%2CALAN_KM2&amp;returnGeometry=true&amp;outSR=4326&amp;f=geojson</x:v>
      </x:c>
    </x:row>
    <x:row r="23">
      <x:c r="A23" s="119" t="n">
        <x:v>20</x:v>
      </x:c>
      <x:c r="B23" s="29" t="str">
        <x:v>Ceyhan</x:v>
      </x:c>
      <x:c r="C23" s="29" t="n">
        <x:f>COUNTIF(HES_177!$D$4:$D$180,B23)</x:f>
        <x:v>15</x:v>
      </x:c>
      <x:c r="D23" s="51" t="n">
        <x:f>SUMIF(HES_177!$D$4:$D$180,B23,HES_177!$N$4:$N$180)</x:f>
        <x:v>1639.2</x:v>
      </x:c>
      <x:c r="E23" s="29" t="n">
        <x:f>COUNTIFS(HES_177!$D$4:$D$180,B23,HES_177!$O$4:$O$180,"&gt;0")</x:f>
        <x:v>12</x:v>
      </x:c>
      <x:c r="F23" s="29" t="n">
        <x:f>COUNTIFS(HES_177!$D$4:$D$180,B23,HES_177!$I$4:$I$180,"&lt;&gt;")</x:f>
        <x:v>12</x:v>
      </x:c>
      <x:c r="G23" s="29" t="n">
        <x:f>COUNTIFS(HES_177!$D$4:$D$180,B23,HES_177!$R$4:$R$180,"&gt;0")</x:f>
        <x:v>10</x:v>
      </x:c>
      <x:c r="H23" s="101" t="str">
        <x:v>https://cbs1.tarimorman.gov.tr/server/rest/services/TATUS/FeatureServer/11/query?where=ID%3D20&amp;outFields=ID%2CHAVZA_ADI%2CALAN_KM2&amp;returnGeometry=true&amp;outSR=4326&amp;f=geojson</x:v>
      </x:c>
    </x:row>
    <x:row r="24">
      <x:c r="A24" s="119" t="n">
        <x:v>21</x:v>
      </x:c>
      <x:c r="B24" s="29" t="str">
        <x:v>Fırat-Dicle</x:v>
      </x:c>
      <x:c r="C24" s="29" t="n">
        <x:f>COUNTIF(HES_177!$D$4:$D$180,B24)</x:f>
        <x:v>41</x:v>
      </x:c>
      <x:c r="D24" s="51" t="n">
        <x:f>SUMIF(HES_177!$D$4:$D$180,B24,HES_177!$N$4:$N$180)</x:f>
        <x:v>12090.146</x:v>
      </x:c>
      <x:c r="E24" s="29" t="n">
        <x:f>COUNTIFS(HES_177!$D$4:$D$180,B24,HES_177!$O$4:$O$180,"&gt;0")</x:f>
        <x:v>1</x:v>
      </x:c>
      <x:c r="F24" s="29" t="n">
        <x:f>COUNTIFS(HES_177!$D$4:$D$180,B24,HES_177!$I$4:$I$180,"&lt;&gt;")</x:f>
        <x:v>28</x:v>
      </x:c>
      <x:c r="G24" s="29" t="n">
        <x:f>COUNTIFS(HES_177!$D$4:$D$180,B24,HES_177!$R$4:$R$180,"&gt;0")</x:f>
        <x:v>0</x:v>
      </x:c>
      <x:c r="H24" s="101" t="str">
        <x:v>https://cbs1.tarimorman.gov.tr/server/rest/services/TATUS/FeatureServer/11/query?where=ID%3D21&amp;outFields=ID%2CHAVZA_ADI%2CALAN_KM2&amp;returnGeometry=true&amp;outSR=4326&amp;f=geojson</x:v>
      </x:c>
    </x:row>
    <x:row r="25">
      <x:c r="A25" s="119" t="n">
        <x:v>22</x:v>
      </x:c>
      <x:c r="B25" s="29" t="str">
        <x:v>Doğu Karadeniz</x:v>
      </x:c>
      <x:c r="C25" s="29" t="n">
        <x:f>COUNTIF(HES_177!$D$4:$D$180,B25)</x:f>
        <x:v>14</x:v>
      </x:c>
      <x:c r="D25" s="51" t="n">
        <x:f>SUMIF(HES_177!$D$4:$D$180,B25,HES_177!$N$4:$N$180)</x:f>
        <x:v>1203.68</x:v>
      </x:c>
      <x:c r="E25" s="29" t="n">
        <x:f>COUNTIFS(HES_177!$D$4:$D$180,B25,HES_177!$O$4:$O$180,"&gt;0")</x:f>
        <x:v>4</x:v>
      </x:c>
      <x:c r="F25" s="29" t="n">
        <x:f>COUNTIFS(HES_177!$D$4:$D$180,B25,HES_177!$I$4:$I$180,"&lt;&gt;")</x:f>
        <x:v>13</x:v>
      </x:c>
      <x:c r="G25" s="29" t="n">
        <x:f>COUNTIFS(HES_177!$D$4:$D$180,B25,HES_177!$R$4:$R$180,"&gt;0")</x:f>
        <x:v>3</x:v>
      </x:c>
      <x:c r="H25" s="101" t="str">
        <x:v>https://cbs1.tarimorman.gov.tr/server/rest/services/TATUS/FeatureServer/11/query?where=ID%3D22&amp;outFields=ID%2CHAVZA_ADI%2CALAN_KM2&amp;returnGeometry=true&amp;outSR=4326&amp;f=geojson</x:v>
      </x:c>
    </x:row>
    <x:row r="26">
      <x:c r="A26" s="119" t="n">
        <x:v>23</x:v>
      </x:c>
      <x:c r="B26" s="29" t="str">
        <x:v>Çoruh</x:v>
      </x:c>
      <x:c r="C26" s="29" t="n">
        <x:f>COUNTIF(HES_177!$D$4:$D$180,B26)</x:f>
        <x:v>10</x:v>
      </x:c>
      <x:c r="D26" s="51" t="n">
        <x:f>SUMIF(HES_177!$D$4:$D$180,B26,HES_177!$N$4:$N$180)</x:f>
        <x:v>2483.2</x:v>
      </x:c>
      <x:c r="E26" s="29" t="n">
        <x:f>COUNTIFS(HES_177!$D$4:$D$180,B26,HES_177!$O$4:$O$180,"&gt;0")</x:f>
        <x:v>0</x:v>
      </x:c>
      <x:c r="F26" s="29" t="n">
        <x:f>COUNTIFS(HES_177!$D$4:$D$180,B26,HES_177!$I$4:$I$180,"&lt;&gt;")</x:f>
        <x:v>8</x:v>
      </x:c>
      <x:c r="G26" s="29" t="n">
        <x:f>COUNTIFS(HES_177!$D$4:$D$180,B26,HES_177!$R$4:$R$180,"&gt;0")</x:f>
        <x:v>0</x:v>
      </x:c>
      <x:c r="H26" s="101" t="str">
        <x:v>https://cbs1.tarimorman.gov.tr/server/rest/services/TATUS/FeatureServer/11/query?where=ID%3D23&amp;outFields=ID%2CHAVZA_ADI%2CALAN_KM2&amp;returnGeometry=true&amp;outSR=4326&amp;f=geojson</x:v>
      </x:c>
    </x:row>
    <x:row r="27">
      <x:c r="A27" s="119" t="n">
        <x:v>24</x:v>
      </x:c>
      <x:c r="B27" s="29" t="str">
        <x:v>Aras</x:v>
      </x:c>
      <x:c r="C27" s="29" t="n">
        <x:f>COUNTIF(HES_177!$D$4:$D$180,B27)</x:f>
        <x:v>5</x:v>
      </x:c>
      <x:c r="D27" s="51" t="n">
        <x:f>SUMIF(HES_177!$D$4:$D$180,B27,HES_177!$N$4:$N$180)</x:f>
        <x:v>355.31100000000004</x:v>
      </x:c>
      <x:c r="E27" s="29" t="n">
        <x:f>COUNTIFS(HES_177!$D$4:$D$180,B27,HES_177!$O$4:$O$180,"&gt;0")</x:f>
        <x:v>0</x:v>
      </x:c>
      <x:c r="F27" s="29" t="n">
        <x:f>COUNTIFS(HES_177!$D$4:$D$180,B27,HES_177!$I$4:$I$180,"&lt;&gt;")</x:f>
        <x:v>4</x:v>
      </x:c>
      <x:c r="G27" s="29" t="n">
        <x:f>COUNTIFS(HES_177!$D$4:$D$180,B27,HES_177!$R$4:$R$180,"&gt;0")</x:f>
        <x:v>0</x:v>
      </x:c>
      <x:c r="H27" s="101" t="str">
        <x:v>https://cbs1.tarimorman.gov.tr/server/rest/services/TATUS/FeatureServer/11/query?where=ID%3D24&amp;outFields=ID%2CHAVZA_ADI%2CALAN_KM2&amp;returnGeometry=true&amp;outSR=4326&amp;f=geojson</x:v>
      </x:c>
    </x:row>
    <x:row r="28">
      <x:c r="A28" s="120" t="n">
        <x:v>25</x:v>
      </x:c>
      <x:c r="B28" s="121" t="str">
        <x:v>Van Gölü</x:v>
      </x:c>
      <x:c r="C28" s="121" t="n">
        <x:f>COUNTIF(HES_177!$D$4:$D$180,B28)</x:f>
        <x:v>5</x:v>
      </x:c>
      <x:c r="D28" s="122" t="n">
        <x:f>SUMIF(HES_177!$D$4:$D$180,B28,HES_177!$N$4:$N$180)</x:f>
        <x:v>45.86</x:v>
      </x:c>
      <x:c r="E28" s="121" t="n">
        <x:f>COUNTIFS(HES_177!$D$4:$D$180,B28,HES_177!$O$4:$O$180,"&gt;0")</x:f>
        <x:v>4</x:v>
      </x:c>
      <x:c r="F28" s="121" t="n">
        <x:f>COUNTIFS(HES_177!$D$4:$D$180,B28,HES_177!$I$4:$I$180,"&lt;&gt;")</x:f>
        <x:v>4</x:v>
      </x:c>
      <x:c r="G28" s="121" t="n">
        <x:f>COUNTIFS(HES_177!$D$4:$D$180,B28,HES_177!$R$4:$R$180,"&gt;0")</x:f>
        <x:v>3</x:v>
      </x:c>
      <x:c r="H28" s="108" t="str">
        <x:v>https://cbs1.tarimorman.gov.tr/server/rest/services/TATUS/FeatureServer/11/query?where=ID%3D25&amp;outFields=ID%2CHAVZA_ADI%2CALAN_KM2&amp;returnGeometry=true&amp;outSR=4326&amp;f=geojson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40e702afd2b4951"/>
  <x:tableParts count="1">
    <x:tablePart xmlns:r="http://schemas.openxmlformats.org/officeDocument/2006/relationships" r:id="R6817f854e0574e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0" hidden="0" customWidth="1"/>
    <x:col min="5" max="5" width="70" hidden="0" customWidth="1"/>
  </x:cols>
  <x:sheetData>
    <x:row r="1">
      <x:c r="A1" s="5" t="str">
        <x:v>TATUS Havza Poligonları — Resmî GeoJSON Erişimi</x:v>
      </x:c>
      <x:c r="B1" s="5"/>
      <x:c r="C1" s="5"/>
      <x:c r="D1" s="5"/>
      <x:c r="E1" s="5"/>
    </x:row>
    <x:row r="3">
      <x:c r="A3" s="74" t="str">
        <x:v>Havza ID</x:v>
      </x:c>
      <x:c r="B3" s="75" t="str">
        <x:v>Havza Adı</x:v>
      </x:c>
      <x:c r="C3" s="75" t="str">
        <x:v>Geometri</x:v>
      </x:c>
      <x:c r="D3" s="75" t="str">
        <x:v>EPSG</x:v>
      </x:c>
      <x:c r="E3" s="99" t="str">
        <x:v>GeoJSON Sorgu URL</x:v>
      </x:c>
    </x:row>
    <x:row r="4">
      <x:c r="A4" s="119" t="n">
        <x:v>1</x:v>
      </x:c>
      <x:c r="B4" s="29" t="str">
        <x:v>Meriç-Ergene</x:v>
      </x:c>
      <x:c r="C4" s="29" t="str">
        <x:v>Polygon</x:v>
      </x:c>
      <x:c r="D4" s="29" t="n">
        <x:v>4326</x:v>
      </x:c>
      <x:c r="E4" s="101" t="str">
        <x:v>https://cbs1.tarimorman.gov.tr/server/rest/services/TATUS/FeatureServer/11/query?where=ID%3D1&amp;outFields=ID%2CHAVZA_ADI%2CALAN_KM2&amp;returnGeometry=true&amp;outSR=4326&amp;f=geojson</x:v>
      </x:c>
    </x:row>
    <x:row r="5">
      <x:c r="A5" s="119" t="n">
        <x:v>2</x:v>
      </x:c>
      <x:c r="B5" s="29" t="str">
        <x:v>Marmara</x:v>
      </x:c>
      <x:c r="C5" s="29" t="str">
        <x:v>Polygon</x:v>
      </x:c>
      <x:c r="D5" s="29" t="n">
        <x:v>4326</x:v>
      </x:c>
      <x:c r="E5" s="101" t="str">
        <x:v>https://cbs1.tarimorman.gov.tr/server/rest/services/TATUS/FeatureServer/11/query?where=ID%3D2&amp;outFields=ID%2CHAVZA_ADI%2CALAN_KM2&amp;returnGeometry=true&amp;outSR=4326&amp;f=geojson</x:v>
      </x:c>
    </x:row>
    <x:row r="6">
      <x:c r="A6" s="119" t="n">
        <x:v>3</x:v>
      </x:c>
      <x:c r="B6" s="29" t="str">
        <x:v>Susurluk</x:v>
      </x:c>
      <x:c r="C6" s="29" t="str">
        <x:v>Polygon</x:v>
      </x:c>
      <x:c r="D6" s="29" t="n">
        <x:v>4326</x:v>
      </x:c>
      <x:c r="E6" s="101" t="str">
        <x:v>https://cbs1.tarimorman.gov.tr/server/rest/services/TATUS/FeatureServer/11/query?where=ID%3D3&amp;outFields=ID%2CHAVZA_ADI%2CALAN_KM2&amp;returnGeometry=true&amp;outSR=4326&amp;f=geojson</x:v>
      </x:c>
    </x:row>
    <x:row r="7">
      <x:c r="A7" s="119" t="n">
        <x:v>4</x:v>
      </x:c>
      <x:c r="B7" s="29" t="str">
        <x:v>Kuzey Ege</x:v>
      </x:c>
      <x:c r="C7" s="29" t="str">
        <x:v>Polygon</x:v>
      </x:c>
      <x:c r="D7" s="29" t="n">
        <x:v>4326</x:v>
      </x:c>
      <x:c r="E7" s="101" t="str">
        <x:v>https://cbs1.tarimorman.gov.tr/server/rest/services/TATUS/FeatureServer/11/query?where=ID%3D4&amp;outFields=ID%2CHAVZA_ADI%2CALAN_KM2&amp;returnGeometry=true&amp;outSR=4326&amp;f=geojson</x:v>
      </x:c>
    </x:row>
    <x:row r="8">
      <x:c r="A8" s="119" t="n">
        <x:v>5</x:v>
      </x:c>
      <x:c r="B8" s="29" t="str">
        <x:v>Gediz</x:v>
      </x:c>
      <x:c r="C8" s="29" t="str">
        <x:v>Polygon</x:v>
      </x:c>
      <x:c r="D8" s="29" t="n">
        <x:v>4326</x:v>
      </x:c>
      <x:c r="E8" s="101" t="str">
        <x:v>https://cbs1.tarimorman.gov.tr/server/rest/services/TATUS/FeatureServer/11/query?where=ID%3D5&amp;outFields=ID%2CHAVZA_ADI%2CALAN_KM2&amp;returnGeometry=true&amp;outSR=4326&amp;f=geojson</x:v>
      </x:c>
    </x:row>
    <x:row r="9">
      <x:c r="A9" s="119" t="n">
        <x:v>6</x:v>
      </x:c>
      <x:c r="B9" s="29" t="str">
        <x:v>Küçük Menderes</x:v>
      </x:c>
      <x:c r="C9" s="29" t="str">
        <x:v>Polygon</x:v>
      </x:c>
      <x:c r="D9" s="29" t="n">
        <x:v>4326</x:v>
      </x:c>
      <x:c r="E9" s="101" t="str">
        <x:v>https://cbs1.tarimorman.gov.tr/server/rest/services/TATUS/FeatureServer/11/query?where=ID%3D6&amp;outFields=ID%2CHAVZA_ADI%2CALAN_KM2&amp;returnGeometry=true&amp;outSR=4326&amp;f=geojson</x:v>
      </x:c>
    </x:row>
    <x:row r="10">
      <x:c r="A10" s="119" t="n">
        <x:v>7</x:v>
      </x:c>
      <x:c r="B10" s="29" t="str">
        <x:v>Büyük Menderes</x:v>
      </x:c>
      <x:c r="C10" s="29" t="str">
        <x:v>Polygon</x:v>
      </x:c>
      <x:c r="D10" s="29" t="n">
        <x:v>4326</x:v>
      </x:c>
      <x:c r="E10" s="101" t="str">
        <x:v>https://cbs1.tarimorman.gov.tr/server/rest/services/TATUS/FeatureServer/11/query?where=ID%3D7&amp;outFields=ID%2CHAVZA_ADI%2CALAN_KM2&amp;returnGeometry=true&amp;outSR=4326&amp;f=geojson</x:v>
      </x:c>
    </x:row>
    <x:row r="11">
      <x:c r="A11" s="119" t="n">
        <x:v>8</x:v>
      </x:c>
      <x:c r="B11" s="29" t="str">
        <x:v>Batı Akdeniz</x:v>
      </x:c>
      <x:c r="C11" s="29" t="str">
        <x:v>Polygon</x:v>
      </x:c>
      <x:c r="D11" s="29" t="n">
        <x:v>4326</x:v>
      </x:c>
      <x:c r="E11" s="101" t="str">
        <x:v>https://cbs1.tarimorman.gov.tr/server/rest/services/TATUS/FeatureServer/11/query?where=ID%3D8&amp;outFields=ID%2CHAVZA_ADI%2CALAN_KM2&amp;returnGeometry=true&amp;outSR=4326&amp;f=geojson</x:v>
      </x:c>
    </x:row>
    <x:row r="12">
      <x:c r="A12" s="119" t="n">
        <x:v>9</x:v>
      </x:c>
      <x:c r="B12" s="29" t="str">
        <x:v>Antalya</x:v>
      </x:c>
      <x:c r="C12" s="29" t="str">
        <x:v>Polygon</x:v>
      </x:c>
      <x:c r="D12" s="29" t="n">
        <x:v>4326</x:v>
      </x:c>
      <x:c r="E12" s="101" t="str">
        <x:v>https://cbs1.tarimorman.gov.tr/server/rest/services/TATUS/FeatureServer/11/query?where=ID%3D9&amp;outFields=ID%2CHAVZA_ADI%2CALAN_KM2&amp;returnGeometry=true&amp;outSR=4326&amp;f=geojson</x:v>
      </x:c>
    </x:row>
    <x:row r="13">
      <x:c r="A13" s="119" t="n">
        <x:v>10</x:v>
      </x:c>
      <x:c r="B13" s="29" t="str">
        <x:v>Burdur</x:v>
      </x:c>
      <x:c r="C13" s="29" t="str">
        <x:v>Polygon</x:v>
      </x:c>
      <x:c r="D13" s="29" t="n">
        <x:v>4326</x:v>
      </x:c>
      <x:c r="E13" s="101" t="str">
        <x:v>https://cbs1.tarimorman.gov.tr/server/rest/services/TATUS/FeatureServer/11/query?where=ID%3D10&amp;outFields=ID%2CHAVZA_ADI%2CALAN_KM2&amp;returnGeometry=true&amp;outSR=4326&amp;f=geojson</x:v>
      </x:c>
    </x:row>
    <x:row r="14">
      <x:c r="A14" s="119" t="n">
        <x:v>11</x:v>
      </x:c>
      <x:c r="B14" s="29" t="str">
        <x:v>Akarçay</x:v>
      </x:c>
      <x:c r="C14" s="29" t="str">
        <x:v>Polygon</x:v>
      </x:c>
      <x:c r="D14" s="29" t="n">
        <x:v>4326</x:v>
      </x:c>
      <x:c r="E14" s="101" t="str">
        <x:v>https://cbs1.tarimorman.gov.tr/server/rest/services/TATUS/FeatureServer/11/query?where=ID%3D11&amp;outFields=ID%2CHAVZA_ADI%2CALAN_KM2&amp;returnGeometry=true&amp;outSR=4326&amp;f=geojson</x:v>
      </x:c>
    </x:row>
    <x:row r="15">
      <x:c r="A15" s="119" t="n">
        <x:v>12</x:v>
      </x:c>
      <x:c r="B15" s="29" t="str">
        <x:v>Sakarya</x:v>
      </x:c>
      <x:c r="C15" s="29" t="str">
        <x:v>Polygon</x:v>
      </x:c>
      <x:c r="D15" s="29" t="n">
        <x:v>4326</x:v>
      </x:c>
      <x:c r="E15" s="101" t="str">
        <x:v>https://cbs1.tarimorman.gov.tr/server/rest/services/TATUS/FeatureServer/11/query?where=ID%3D12&amp;outFields=ID%2CHAVZA_ADI%2CALAN_KM2&amp;returnGeometry=true&amp;outSR=4326&amp;f=geojson</x:v>
      </x:c>
    </x:row>
    <x:row r="16">
      <x:c r="A16" s="119" t="n">
        <x:v>13</x:v>
      </x:c>
      <x:c r="B16" s="29" t="str">
        <x:v>Batı Karadeniz</x:v>
      </x:c>
      <x:c r="C16" s="29" t="str">
        <x:v>Polygon</x:v>
      </x:c>
      <x:c r="D16" s="29" t="n">
        <x:v>4326</x:v>
      </x:c>
      <x:c r="E16" s="101" t="str">
        <x:v>https://cbs1.tarimorman.gov.tr/server/rest/services/TATUS/FeatureServer/11/query?where=ID%3D13&amp;outFields=ID%2CHAVZA_ADI%2CALAN_KM2&amp;returnGeometry=true&amp;outSR=4326&amp;f=geojson</x:v>
      </x:c>
    </x:row>
    <x:row r="17">
      <x:c r="A17" s="119" t="n">
        <x:v>14</x:v>
      </x:c>
      <x:c r="B17" s="29" t="str">
        <x:v>Yeşilırmak</x:v>
      </x:c>
      <x:c r="C17" s="29" t="str">
        <x:v>Polygon</x:v>
      </x:c>
      <x:c r="D17" s="29" t="n">
        <x:v>4326</x:v>
      </x:c>
      <x:c r="E17" s="101" t="str">
        <x:v>https://cbs1.tarimorman.gov.tr/server/rest/services/TATUS/FeatureServer/11/query?where=ID%3D14&amp;outFields=ID%2CHAVZA_ADI%2CALAN_KM2&amp;returnGeometry=true&amp;outSR=4326&amp;f=geojson</x:v>
      </x:c>
    </x:row>
    <x:row r="18">
      <x:c r="A18" s="119" t="n">
        <x:v>15</x:v>
      </x:c>
      <x:c r="B18" s="29" t="str">
        <x:v>Kızılırmak</x:v>
      </x:c>
      <x:c r="C18" s="29" t="str">
        <x:v>Polygon</x:v>
      </x:c>
      <x:c r="D18" s="29" t="n">
        <x:v>4326</x:v>
      </x:c>
      <x:c r="E18" s="101" t="str">
        <x:v>https://cbs1.tarimorman.gov.tr/server/rest/services/TATUS/FeatureServer/11/query?where=ID%3D15&amp;outFields=ID%2CHAVZA_ADI%2CALAN_KM2&amp;returnGeometry=true&amp;outSR=4326&amp;f=geojson</x:v>
      </x:c>
    </x:row>
    <x:row r="19">
      <x:c r="A19" s="119" t="n">
        <x:v>16</x:v>
      </x:c>
      <x:c r="B19" s="29" t="str">
        <x:v>Konya Kapalı</x:v>
      </x:c>
      <x:c r="C19" s="29" t="str">
        <x:v>Polygon</x:v>
      </x:c>
      <x:c r="D19" s="29" t="n">
        <x:v>4326</x:v>
      </x:c>
      <x:c r="E19" s="101" t="str">
        <x:v>https://cbs1.tarimorman.gov.tr/server/rest/services/TATUS/FeatureServer/11/query?where=ID%3D16&amp;outFields=ID%2CHAVZA_ADI%2CALAN_KM2&amp;returnGeometry=true&amp;outSR=4326&amp;f=geojson</x:v>
      </x:c>
    </x:row>
    <x:row r="20">
      <x:c r="A20" s="119" t="n">
        <x:v>17</x:v>
      </x:c>
      <x:c r="B20" s="29" t="str">
        <x:v>Doğu Akdeniz</x:v>
      </x:c>
      <x:c r="C20" s="29" t="str">
        <x:v>Polygon</x:v>
      </x:c>
      <x:c r="D20" s="29" t="n">
        <x:v>4326</x:v>
      </x:c>
      <x:c r="E20" s="101" t="str">
        <x:v>https://cbs1.tarimorman.gov.tr/server/rest/services/TATUS/FeatureServer/11/query?where=ID%3D17&amp;outFields=ID%2CHAVZA_ADI%2CALAN_KM2&amp;returnGeometry=true&amp;outSR=4326&amp;f=geojson</x:v>
      </x:c>
    </x:row>
    <x:row r="21">
      <x:c r="A21" s="119" t="n">
        <x:v>18</x:v>
      </x:c>
      <x:c r="B21" s="29" t="str">
        <x:v>Seyhan</x:v>
      </x:c>
      <x:c r="C21" s="29" t="str">
        <x:v>Polygon</x:v>
      </x:c>
      <x:c r="D21" s="29" t="n">
        <x:v>4326</x:v>
      </x:c>
      <x:c r="E21" s="101" t="str">
        <x:v>https://cbs1.tarimorman.gov.tr/server/rest/services/TATUS/FeatureServer/11/query?where=ID%3D18&amp;outFields=ID%2CHAVZA_ADI%2CALAN_KM2&amp;returnGeometry=true&amp;outSR=4326&amp;f=geojson</x:v>
      </x:c>
    </x:row>
    <x:row r="22">
      <x:c r="A22" s="119" t="n">
        <x:v>19</x:v>
      </x:c>
      <x:c r="B22" s="29" t="str">
        <x:v>Asi</x:v>
      </x:c>
      <x:c r="C22" s="29" t="str">
        <x:v>Polygon</x:v>
      </x:c>
      <x:c r="D22" s="29" t="n">
        <x:v>4326</x:v>
      </x:c>
      <x:c r="E22" s="101" t="str">
        <x:v>https://cbs1.tarimorman.gov.tr/server/rest/services/TATUS/FeatureServer/11/query?where=ID%3D19&amp;outFields=ID%2CHAVZA_ADI%2CALAN_KM2&amp;returnGeometry=true&amp;outSR=4326&amp;f=geojson</x:v>
      </x:c>
    </x:row>
    <x:row r="23">
      <x:c r="A23" s="119" t="n">
        <x:v>20</x:v>
      </x:c>
      <x:c r="B23" s="29" t="str">
        <x:v>Ceyhan</x:v>
      </x:c>
      <x:c r="C23" s="29" t="str">
        <x:v>Polygon</x:v>
      </x:c>
      <x:c r="D23" s="29" t="n">
        <x:v>4326</x:v>
      </x:c>
      <x:c r="E23" s="101" t="str">
        <x:v>https://cbs1.tarimorman.gov.tr/server/rest/services/TATUS/FeatureServer/11/query?where=ID%3D20&amp;outFields=ID%2CHAVZA_ADI%2CALAN_KM2&amp;returnGeometry=true&amp;outSR=4326&amp;f=geojson</x:v>
      </x:c>
    </x:row>
    <x:row r="24">
      <x:c r="A24" s="119" t="n">
        <x:v>21</x:v>
      </x:c>
      <x:c r="B24" s="29" t="str">
        <x:v>Fırat-Dicle</x:v>
      </x:c>
      <x:c r="C24" s="29" t="str">
        <x:v>Polygon</x:v>
      </x:c>
      <x:c r="D24" s="29" t="n">
        <x:v>4326</x:v>
      </x:c>
      <x:c r="E24" s="101" t="str">
        <x:v>https://cbs1.tarimorman.gov.tr/server/rest/services/TATUS/FeatureServer/11/query?where=ID%3D21&amp;outFields=ID%2CHAVZA_ADI%2CALAN_KM2&amp;returnGeometry=true&amp;outSR=4326&amp;f=geojson</x:v>
      </x:c>
    </x:row>
    <x:row r="25">
      <x:c r="A25" s="119" t="n">
        <x:v>22</x:v>
      </x:c>
      <x:c r="B25" s="29" t="str">
        <x:v>Doğu Karadeniz</x:v>
      </x:c>
      <x:c r="C25" s="29" t="str">
        <x:v>Polygon</x:v>
      </x:c>
      <x:c r="D25" s="29" t="n">
        <x:v>4326</x:v>
      </x:c>
      <x:c r="E25" s="101" t="str">
        <x:v>https://cbs1.tarimorman.gov.tr/server/rest/services/TATUS/FeatureServer/11/query?where=ID%3D22&amp;outFields=ID%2CHAVZA_ADI%2CALAN_KM2&amp;returnGeometry=true&amp;outSR=4326&amp;f=geojson</x:v>
      </x:c>
    </x:row>
    <x:row r="26">
      <x:c r="A26" s="119" t="n">
        <x:v>23</x:v>
      </x:c>
      <x:c r="B26" s="29" t="str">
        <x:v>Çoruh</x:v>
      </x:c>
      <x:c r="C26" s="29" t="str">
        <x:v>Polygon</x:v>
      </x:c>
      <x:c r="D26" s="29" t="n">
        <x:v>4326</x:v>
      </x:c>
      <x:c r="E26" s="101" t="str">
        <x:v>https://cbs1.tarimorman.gov.tr/server/rest/services/TATUS/FeatureServer/11/query?where=ID%3D23&amp;outFields=ID%2CHAVZA_ADI%2CALAN_KM2&amp;returnGeometry=true&amp;outSR=4326&amp;f=geojson</x:v>
      </x:c>
    </x:row>
    <x:row r="27">
      <x:c r="A27" s="119" t="n">
        <x:v>24</x:v>
      </x:c>
      <x:c r="B27" s="29" t="str">
        <x:v>Aras</x:v>
      </x:c>
      <x:c r="C27" s="29" t="str">
        <x:v>Polygon</x:v>
      </x:c>
      <x:c r="D27" s="29" t="n">
        <x:v>4326</x:v>
      </x:c>
      <x:c r="E27" s="101" t="str">
        <x:v>https://cbs1.tarimorman.gov.tr/server/rest/services/TATUS/FeatureServer/11/query?where=ID%3D24&amp;outFields=ID%2CHAVZA_ADI%2CALAN_KM2&amp;returnGeometry=true&amp;outSR=4326&amp;f=geojson</x:v>
      </x:c>
    </x:row>
    <x:row r="28">
      <x:c r="A28" s="120" t="n">
        <x:v>25</x:v>
      </x:c>
      <x:c r="B28" s="121" t="str">
        <x:v>Van Gölü</x:v>
      </x:c>
      <x:c r="C28" s="121" t="str">
        <x:v>Polygon</x:v>
      </x:c>
      <x:c r="D28" s="121" t="n">
        <x:v>4326</x:v>
      </x:c>
      <x:c r="E28" s="108" t="str">
        <x:v>https://cbs1.tarimorman.gov.tr/server/rest/services/TATUS/FeatureServer/11/query?where=ID%3D25&amp;outFields=ID%2CHAVZA_ADI%2CALAN_KM2&amp;returnGeometry=true&amp;outSR=4326&amp;f=geojson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2214495338b4d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2" hidden="0" customWidth="1"/>
    <x:col min="4" max="4" width="68" hidden="0" customWidth="1"/>
    <x:col min="5" max="5" width="55" hidden="0" customWidth="1"/>
  </x:cols>
  <x:sheetData>
    <x:row r="1">
      <x:c r="A1" s="5" t="str">
        <x:v>Kaynaklar ve Veri Soy Ağacı</x:v>
      </x:c>
      <x:c r="B1" s="5"/>
      <x:c r="C1" s="5"/>
      <x:c r="D1" s="5"/>
      <x:c r="E1" s="5"/>
    </x:row>
    <x:row r="3">
      <x:c r="A3" s="74" t="str">
        <x:v>Tür</x:v>
      </x:c>
      <x:c r="B3" s="75" t="str">
        <x:v>Kullanım</x:v>
      </x:c>
      <x:c r="C3" s="75" t="str">
        <x:v>Kayıt/HES</x:v>
      </x:c>
      <x:c r="D3" s="75" t="str">
        <x:v>Kaynak / URL</x:v>
      </x:c>
      <x:c r="E3" s="99" t="str">
        <x:v>Not</x:v>
      </x:c>
    </x:row>
    <x:row r="4">
      <x:c r="A4" s="119" t="str">
        <x:v>Yüklenen Excel</x:v>
      </x:c>
      <x:c r="B4" s="29" t="str">
        <x:v>Ana 177 HES listesi</x:v>
      </x:c>
      <x:c r="C4" s="29" t="n">
        <x:v>177</x:v>
      </x:c>
      <x:c r="D4" s="32" t="str">
        <x:v>HES_LİSTESİ.xlsx</x:v>
      </x:c>
      <x:c r="E4" s="101" t="str">
        <x:v>Ad, havza, maksimum/minimum su seviyesi ve kaskat alanının ana kaynağı.</x:v>
      </x:c>
    </x:row>
    <x:row r="5">
      <x:c r="A5" s="119" t="str">
        <x:v>Yüklenen Excel</x:v>
      </x:c>
      <x:c r="B5" s="29" t="str">
        <x:v>Aktif hacim</x:v>
      </x:c>
      <x:c r="C5" s="29" t="n">
        <x:v>88</x:v>
      </x:c>
      <x:c r="D5" s="32" t="str">
        <x:v>Aktif_Hacim-11092026.xlsx</x:v>
      </x:c>
      <x:c r="E5" s="101" t="str">
        <x:v>EPİAŞ aktif hacim verisi; eşleşen barajlarda kullanıldı.</x:v>
      </x:c>
    </x:row>
    <x:row r="6">
      <x:c r="A6" s="119" t="str">
        <x:v>Yüklenen Excel</x:v>
      </x:c>
      <x:c r="B6" s="29" t="str">
        <x:v>Debi + kurulu güç + il</x:v>
      </x:c>
      <x:c r="C6" s="29" t="n">
        <x:v>116</x:v>
      </x:c>
      <x:c r="D6" s="32" t="str">
        <x:v>Debi_ve_Kurulu_Guc-13092026.xlsx</x:v>
      </x:c>
      <x:c r="E6" s="101" t="str">
        <x:v>Ünite debisi, kurulu güç ve il için öncelikli yüklenen kaynak.</x:v>
      </x:c>
    </x:row>
    <x:row r="7">
      <x:c r="A7" s="119" t="str">
        <x:v>Yüklenen Excel</x:v>
      </x:c>
      <x:c r="B7" s="29" t="str">
        <x:v>Maksimum/minimum hacim</x:v>
      </x:c>
      <x:c r="C7" s="29" t="n">
        <x:v>116</x:v>
      </x:c>
      <x:c r="D7" s="32" t="str">
        <x:v>Hacim-13092026.xlsx</x:v>
      </x:c>
      <x:c r="E7" s="101" t="str">
        <x:v>Maksimum ve minimum hacim değerleri.</x:v>
      </x:c>
    </x:row>
    <x:row r="8">
      <x:c r="A8" s="119" t="str">
        <x:v>Yüklenen Excel</x:v>
      </x:c>
      <x:c r="B8" s="29" t="str">
        <x:v>Maksimum/minimum kot</x:v>
      </x:c>
      <x:c r="C8" s="29" t="n">
        <x:v>116</x:v>
      </x:c>
      <x:c r="D8" s="32" t="str">
        <x:v>Kot-13092026.xlsx</x:v>
      </x:c>
      <x:c r="E8" s="101" t="str">
        <x:v>Santral/baraj eşlemesinde ad eşleşmesine ek olarak kot doğrulaması için kullanıldı.</x:v>
      </x:c>
    </x:row>
    <x:row r="9">
      <x:c r="A9" s="119" t="str">
        <x:v>Yüklenen Excel</x:v>
      </x:c>
      <x:c r="B9" s="29" t="str">
        <x:v>Suyun enerji karşılığı</x:v>
      </x:c>
      <x:c r="C9" s="29" t="n">
        <x:v>88</x:v>
      </x:c>
      <x:c r="D9" s="32" t="str">
        <x:v>Suyun_Enerji_Karsiligi-11092026.xlsx</x:v>
      </x:c>
      <x:c r="E9" s="101" t="str">
        <x:v>Eşleşen barajlarda MWh enerji karşılığı.</x:v>
      </x:c>
    </x:row>
    <x:row r="10">
      <x:c r="A10" s="119" t="str">
        <x:v>Resmî CBS</x:v>
      </x:c>
      <x:c r="B10" s="29" t="str">
        <x:v>Havza sınırları ve baraj coğrafyası</x:v>
      </x:c>
      <x:c r="C10" s="29" t="n">
        <x:v>25</x:v>
      </x:c>
      <x:c r="D10" s="32" t="str">
        <x:v>https://cbs1.tarimorman.gov.tr/server/rest/services/TATUS/FeatureServer</x:v>
      </x:c>
      <x:c r="E10" s="101" t="str">
        <x:v>TATUS; WGS84 / EPSG:4326, havza sınırları Layer 11, baraj gözlem Layer 7.</x:v>
      </x:c>
    </x:row>
    <x:row r="11">
      <x:c r="A11" s="119" t="str">
        <x:v>Açık veri</x:v>
      </x:c>
      <x:c r="B11" s="29" t="str">
        <x:v>Kurulu güç/konum kontrolü</x:v>
      </x:c>
      <x:c r="C11" s="29" t="str">
        <x:v>—</x:v>
      </x:c>
      <x:c r="D11" s="32" t="str">
        <x:v>https://openinframap.org/stats/area/Turkey/plants?source=hydro</x:v>
      </x:c>
      <x:c r="E11" s="101" t="str">
        <x:v>HES kapasite ve ad doğrulamalarında yardımcı açık veri.</x:v>
      </x:c>
    </x:row>
    <x:row r="12">
      <x:c r="A12" s="119" t="str">
        <x:v>Açık veri</x:v>
      </x:c>
      <x:c r="B12" s="29" t="str">
        <x:v>Konum/kapasite çapraz kontrol</x:v>
      </x:c>
      <x:c r="C12" s="29" t="str">
        <x:v>—</x:v>
      </x:c>
      <x:c r="D12" s="32" t="str">
        <x:v>https://datasette.io/global-power-plants</x:v>
      </x:c>
      <x:c r="E12" s="101" t="str">
        <x:v>WRI Global Power Plant Database; yalnız eşleşebilen tesislerde yardımcı kaynak.</x:v>
      </x:c>
    </x:row>
    <x:row r="13">
      <x:c r="A13" s="119" t="str">
        <x:v>Web</x:v>
      </x:c>
      <x:c r="B13" s="29" t="str">
        <x:v>Konum</x:v>
      </x:c>
      <x:c r="C13" s="29" t="n">
        <x:v>37</x:v>
      </x:c>
      <x:c r="D13" s="32" t="str">
        <x:v>https://cbs1.tarimorman.gov.tr/server/rest/services/TATUS/FeatureServer/7</x:v>
      </x:c>
      <x:c r="E13" s="101" t="str">
        <x:v>177 HES listesindeki eksik alanları doğrulamak/zenginleştirmek için kullanıldı.</x:v>
      </x:c>
    </x:row>
    <x:row r="14">
      <x:c r="A14" s="119" t="str">
        <x:v>Web</x:v>
      </x:c>
      <x:c r="B14" s="29" t="str">
        <x:v>Kurulu Güç, İl</x:v>
      </x:c>
      <x:c r="C14" s="29" t="n">
        <x:v>1</x:v>
      </x:c>
      <x:c r="D14" s="32" t="str">
        <x:v>https://csenergy.csglobal.com.tr/tesislerimiz</x:v>
      </x:c>
      <x:c r="E14" s="101" t="str">
        <x:v>177 HES listesindeki eksik alanları doğrulamak/zenginleştirmek için kullanıldı.</x:v>
      </x:c>
    </x:row>
    <x:row r="15">
      <x:c r="A15" s="119" t="str">
        <x:v>Web</x:v>
      </x:c>
      <x:c r="B15" s="29" t="str">
        <x:v>Kurulu Güç, İl</x:v>
      </x:c>
      <x:c r="C15" s="29" t="n">
        <x:v>1</x:v>
      </x:c>
      <x:c r="D15" s="32" t="str">
        <x:v>https://dergipark.org.tr/tr/download/article-file/1173951</x:v>
      </x:c>
      <x:c r="E15" s="101" t="str">
        <x:v>177 HES listesindeki eksik alanları doğrulamak/zenginleştirmek için kullanıldı.</x:v>
      </x:c>
    </x:row>
    <x:row r="16">
      <x:c r="A16" s="119" t="str">
        <x:v>Web</x:v>
      </x:c>
      <x:c r="B16" s="29" t="str">
        <x:v>Kurulu Güç, İl</x:v>
      </x:c>
      <x:c r="C16" s="29" t="n">
        <x:v>1</x:v>
      </x:c>
      <x:c r="D16" s="32" t="str">
        <x:v>https://enerji.dsi.gov.tr/Haber/Detay/10469</x:v>
      </x:c>
      <x:c r="E16" s="101" t="str">
        <x:v>177 HES listesindeki eksik alanları doğrulamak/zenginleştirmek için kullanıldı.</x:v>
      </x:c>
    </x:row>
    <x:row r="17">
      <x:c r="A17" s="119" t="str">
        <x:v>Web</x:v>
      </x:c>
      <x:c r="B17" s="29" t="str">
        <x:v>Kurulu Güç, İl</x:v>
      </x:c>
      <x:c r="C17" s="29" t="n">
        <x:v>1</x:v>
      </x:c>
      <x:c r="D17" s="32" t="str">
        <x:v>https://enerji.dsi.gov.tr/Haber/Detay/11643</x:v>
      </x:c>
      <x:c r="E17" s="101" t="str">
        <x:v>177 HES listesindeki eksik alanları doğrulamak/zenginleştirmek için kullanıldı.</x:v>
      </x:c>
    </x:row>
    <x:row r="18">
      <x:c r="A18" s="119" t="str">
        <x:v>Web</x:v>
      </x:c>
      <x:c r="B18" s="29" t="str">
        <x:v>Kurulu Güç, İl</x:v>
      </x:c>
      <x:c r="C18" s="29" t="n">
        <x:v>1</x:v>
      </x:c>
      <x:c r="D18" s="32" t="str">
        <x:v>https://enerji.dsi.gov.tr/Haber/Detay/844</x:v>
      </x:c>
      <x:c r="E18" s="101" t="str">
        <x:v>177 HES listesindeki eksik alanları doğrulamak/zenginleştirmek için kullanıldı.</x:v>
      </x:c>
    </x:row>
    <x:row r="19">
      <x:c r="A19" s="119" t="str">
        <x:v>Web</x:v>
      </x:c>
      <x:c r="B19" s="29" t="str">
        <x:v>Kurulu Güç</x:v>
      </x:c>
      <x:c r="C19" s="29" t="n">
        <x:v>1</x:v>
      </x:c>
      <x:c r="D19" s="32" t="str">
        <x:v>https://ere.com.tr/wp-content/uploads/2022/06/Hid_pot.pdf</x:v>
      </x:c>
      <x:c r="E19" s="101" t="str">
        <x:v>177 HES listesindeki eksik alanları doğrulamak/zenginleştirmek için kullanıldı.</x:v>
      </x:c>
    </x:row>
    <x:row r="20">
      <x:c r="A20" s="119" t="str">
        <x:v>Web</x:v>
      </x:c>
      <x:c r="B20" s="29" t="str">
        <x:v>Kurulu Güç, İl</x:v>
      </x:c>
      <x:c r="C20" s="29" t="n">
        <x:v>1</x:v>
      </x:c>
      <x:c r="D20" s="32" t="str">
        <x:v>https://financialfilings.com/filings/ayen-enerji-as/annual-report/2026/32909967/</x:v>
      </x:c>
      <x:c r="E20" s="101" t="str">
        <x:v>177 HES listesindeki eksik alanları doğrulamak/zenginleştirmek için kullanıldı.</x:v>
      </x:c>
    </x:row>
    <x:row r="21">
      <x:c r="A21" s="119" t="str">
        <x:v>Web</x:v>
      </x:c>
      <x:c r="B21" s="29" t="str">
        <x:v>Kurulu Güç, İl</x:v>
      </x:c>
      <x:c r="C21" s="29" t="n">
        <x:v>1</x:v>
      </x:c>
      <x:c r="D21" s="32" t="str">
        <x:v>https://hesiad.org.tr/wp-content/uploads/2025/05/15.01.2025-2.pdf</x:v>
      </x:c>
      <x:c r="E21" s="101" t="str">
        <x:v>177 HES listesindeki eksik alanları doğrulamak/zenginleştirmek için kullanıldı.</x:v>
      </x:c>
    </x:row>
    <x:row r="22">
      <x:c r="A22" s="119" t="str">
        <x:v>Web</x:v>
      </x:c>
      <x:c r="B22" s="29" t="str">
        <x:v>Konum</x:v>
      </x:c>
      <x:c r="C22" s="29" t="n">
        <x:v>1</x:v>
      </x:c>
      <x:c r="D22" s="32" t="str">
        <x:v>https://mapcarta.com/W186482628</x:v>
      </x:c>
      <x:c r="E22" s="101" t="str">
        <x:v>177 HES listesindeki eksik alanları doğrulamak/zenginleştirmek için kullanıldı.</x:v>
      </x:c>
    </x:row>
    <x:row r="23">
      <x:c r="A23" s="119" t="str">
        <x:v>Web</x:v>
      </x:c>
      <x:c r="B23" s="29" t="str">
        <x:v>Kurulu Güç, İl</x:v>
      </x:c>
      <x:c r="C23" s="29" t="n">
        <x:v>2</x:v>
      </x:c>
      <x:c r="D23" s="32" t="str">
        <x:v>https://news-content.foreks.com/attachments/kap/4028328d9c81f589019cb50969282455.pdf</x:v>
      </x:c>
      <x:c r="E23" s="101" t="str">
        <x:v>177 HES listesindeki eksik alanları doğrulamak/zenginleştirmek için kullanıldı.</x:v>
      </x:c>
    </x:row>
    <x:row r="24">
      <x:c r="A24" s="119" t="str">
        <x:v>Web</x:v>
      </x:c>
      <x:c r="B24" s="29" t="str">
        <x:v>Kurulu Güç, İl</x:v>
      </x:c>
      <x:c r="C24" s="29" t="n">
        <x:v>58</x:v>
      </x:c>
      <x:c r="D24" s="32" t="str">
        <x:v>https://openinframap.org/stats/area/Turkey/plants?source=hydro</x:v>
      </x:c>
      <x:c r="E24" s="101" t="str">
        <x:v>177 HES listesindeki eksik alanları doğrulamak/zenginleştirmek için kullanıldı.</x:v>
      </x:c>
    </x:row>
    <x:row r="25">
      <x:c r="A25" s="119" t="str">
        <x:v>Web</x:v>
      </x:c>
      <x:c r="B25" s="29" t="str">
        <x:v>Kurulu Güç, İl</x:v>
      </x:c>
      <x:c r="C25" s="29" t="n">
        <x:v>1</x:v>
      </x:c>
      <x:c r="D25" s="32" t="str">
        <x:v>https://pusula-group.com.tr/proje-kategori/hidroelektrik-santral</x:v>
      </x:c>
      <x:c r="E25" s="101" t="str">
        <x:v>177 HES listesindeki eksik alanları doğrulamak/zenginleştirmek için kullanıldı.</x:v>
      </x:c>
    </x:row>
    <x:row r="26">
      <x:c r="A26" s="119" t="str">
        <x:v>Web</x:v>
      </x:c>
      <x:c r="B26" s="29" t="str">
        <x:v>Konum</x:v>
      </x:c>
      <x:c r="C26" s="29" t="n">
        <x:v>1</x:v>
      </x:c>
      <x:c r="D26" s="32" t="str">
        <x:v>https://turkiyebarajlar.com/baraj/alakopru</x:v>
      </x:c>
      <x:c r="E26" s="101" t="str">
        <x:v>177 HES listesindeki eksik alanları doğrulamak/zenginleştirmek için kullanıldı.</x:v>
      </x:c>
    </x:row>
    <x:row r="27">
      <x:c r="A27" s="119" t="str">
        <x:v>Web</x:v>
      </x:c>
      <x:c r="B27" s="29" t="str">
        <x:v>Konum</x:v>
      </x:c>
      <x:c r="C27" s="29" t="n">
        <x:v>1</x:v>
      </x:c>
      <x:c r="D27" s="32" t="str">
        <x:v>https://turkiyebarajlar.com/baraj/altinkaya</x:v>
      </x:c>
      <x:c r="E27" s="101" t="str">
        <x:v>177 HES listesindeki eksik alanları doğrulamak/zenginleştirmek için kullanıldı.</x:v>
      </x:c>
    </x:row>
    <x:row r="28">
      <x:c r="A28" s="119" t="str">
        <x:v>Web</x:v>
      </x:c>
      <x:c r="B28" s="29" t="str">
        <x:v>Konum</x:v>
      </x:c>
      <x:c r="C28" s="29" t="n">
        <x:v>1</x:v>
      </x:c>
      <x:c r="D28" s="32" t="str">
        <x:v>https://turkiyebarajlar.com/baraj/ermenek</x:v>
      </x:c>
      <x:c r="E28" s="101" t="str">
        <x:v>177 HES listesindeki eksik alanları doğrulamak/zenginleştirmek için kullanıldı.</x:v>
      </x:c>
    </x:row>
    <x:row r="29">
      <x:c r="A29" s="119" t="str">
        <x:v>Web</x:v>
      </x:c>
      <x:c r="B29" s="29" t="str">
        <x:v>Konum</x:v>
      </x:c>
      <x:c r="C29" s="29" t="n">
        <x:v>1</x:v>
      </x:c>
      <x:c r="D29" s="32" t="str">
        <x:v>https://turkiyebarajlar.com/baraj/gezende</x:v>
      </x:c>
      <x:c r="E29" s="101" t="str">
        <x:v>177 HES listesindeki eksik alanları doğrulamak/zenginleştirmek için kullanıldı.</x:v>
      </x:c>
    </x:row>
    <x:row r="30">
      <x:c r="A30" s="119" t="str">
        <x:v>Web</x:v>
      </x:c>
      <x:c r="B30" s="29" t="str">
        <x:v>Konum</x:v>
      </x:c>
      <x:c r="C30" s="29" t="n">
        <x:v>1</x:v>
      </x:c>
      <x:c r="D30" s="32" t="str">
        <x:v>https://turkiyebarajlar.com/baraj/gokcekaya</x:v>
      </x:c>
      <x:c r="E30" s="101" t="str">
        <x:v>177 HES listesindeki eksik alanları doğrulamak/zenginleştirmek için kullanıldı.</x:v>
      </x:c>
    </x:row>
    <x:row r="31">
      <x:c r="A31" s="119" t="str">
        <x:v>Web</x:v>
      </x:c>
      <x:c r="B31" s="29" t="str">
        <x:v>Konum</x:v>
      </x:c>
      <x:c r="C31" s="29" t="n">
        <x:v>1</x:v>
      </x:c>
      <x:c r="D31" s="32" t="str">
        <x:v>https://turkiyebarajlar.com/baraj/kavsakbendi-hes</x:v>
      </x:c>
      <x:c r="E31" s="101" t="str">
        <x:v>177 HES listesindeki eksik alanları doğrulamak/zenginleştirmek için kullanıldı.</x:v>
      </x:c>
    </x:row>
    <x:row r="32">
      <x:c r="A32" s="119" t="str">
        <x:v>Web</x:v>
      </x:c>
      <x:c r="B32" s="29" t="str">
        <x:v>Konum</x:v>
      </x:c>
      <x:c r="C32" s="29" t="n">
        <x:v>1</x:v>
      </x:c>
      <x:c r="D32" s="32" t="str">
        <x:v>https://turkiyebarajlar.com/baraj/kopru</x:v>
      </x:c>
      <x:c r="E32" s="101" t="str">
        <x:v>177 HES listesindeki eksik alanları doğrulamak/zenginleştirmek için kullanıldı.</x:v>
      </x:c>
    </x:row>
    <x:row r="33">
      <x:c r="A33" s="119" t="str">
        <x:v>Web</x:v>
      </x:c>
      <x:c r="B33" s="29" t="str">
        <x:v>Konum</x:v>
      </x:c>
      <x:c r="C33" s="29" t="n">
        <x:v>1</x:v>
      </x:c>
      <x:c r="D33" s="32" t="str">
        <x:v>https://turkiyebarajlar.com/baraj/obruk</x:v>
      </x:c>
      <x:c r="E33" s="101" t="str">
        <x:v>177 HES listesindeki eksik alanları doğrulamak/zenginleştirmek için kullanıldı.</x:v>
      </x:c>
    </x:row>
    <x:row r="34">
      <x:c r="A34" s="119" t="str">
        <x:v>Web</x:v>
      </x:c>
      <x:c r="B34" s="29" t="str">
        <x:v>Konum</x:v>
      </x:c>
      <x:c r="C34" s="29" t="n">
        <x:v>1</x:v>
      </x:c>
      <x:c r="D34" s="32" t="str">
        <x:v>https://turkiyebarajlar.com/baraj/yedigoze</x:v>
      </x:c>
      <x:c r="E34" s="101" t="str">
        <x:v>177 HES listesindeki eksik alanları doğrulamak/zenginleştirmek için kullanıldı.</x:v>
      </x:c>
    </x:row>
    <x:row r="35">
      <x:c r="A35" s="119" t="str">
        <x:v>Web</x:v>
      </x:c>
      <x:c r="B35" s="29" t="str">
        <x:v>Kurulu Güç, İl</x:v>
      </x:c>
      <x:c r="C35" s="29" t="n">
        <x:v>1</x:v>
      </x:c>
      <x:c r="D35" s="32" t="str">
        <x:v>https://turkiyebarajlar.com/santral-arizasi/97211-aksar-nazar-enerji-uretim-as-aksar-nazar-hes</x:v>
      </x:c>
      <x:c r="E35" s="101" t="str">
        <x:v>177 HES listesindeki eksik alanları doğrulamak/zenginleştirmek için kullanıldı.</x:v>
      </x:c>
    </x:row>
    <x:row r="36">
      <x:c r="A36" s="119" t="str">
        <x:v>Web</x:v>
      </x:c>
      <x:c r="B36" s="29" t="str">
        <x:v>Kurulu Güç, İl</x:v>
      </x:c>
      <x:c r="C36" s="29" t="n">
        <x:v>2</x:v>
      </x:c>
      <x:c r="D36" s="32" t="str">
        <x:v>https://webdosya.csb.gov.tr/db/ced/icerikler/ardahan_-cdr-2024-20250917092626.pdf</x:v>
      </x:c>
      <x:c r="E36" s="101" t="str">
        <x:v>177 HES listesindeki eksik alanları doğrulamak/zenginleştirmek için kullanıldı.</x:v>
      </x:c>
    </x:row>
    <x:row r="37">
      <x:c r="A37" s="119" t="str">
        <x:v>Web</x:v>
      </x:c>
      <x:c r="B37" s="29" t="str">
        <x:v>İl</x:v>
      </x:c>
      <x:c r="C37" s="29" t="n">
        <x:v>1</x:v>
      </x:c>
      <x:c r="D37" s="32" t="str">
        <x:v>https://webdosya.csb.gov.tr/db/ced/icerikler/hakkar-_-cdr2022-20230829101004.pdf</x:v>
      </x:c>
      <x:c r="E37" s="101" t="str">
        <x:v>177 HES listesindeki eksik alanları doğrulamak/zenginleştirmek için kullanıldı.</x:v>
      </x:c>
    </x:row>
    <x:row r="38">
      <x:c r="A38" s="119" t="str">
        <x:v>Web</x:v>
      </x:c>
      <x:c r="B38" s="29" t="str">
        <x:v>Kurulu Güç, İl</x:v>
      </x:c>
      <x:c r="C38" s="29" t="n">
        <x:v>2</x:v>
      </x:c>
      <x:c r="D38" s="32" t="str">
        <x:v>https://webdosya.csb.gov.tr/db/ced/icerikler/sirnak_-cdr2023-20240705110218.pdf</x:v>
      </x:c>
      <x:c r="E38" s="101" t="str">
        <x:v>177 HES listesindeki eksik alanları doğrulamak/zenginleştirmek için kullanıldı.</x:v>
      </x:c>
    </x:row>
    <x:row r="39">
      <x:c r="A39" s="119" t="str">
        <x:v>Web</x:v>
      </x:c>
      <x:c r="B39" s="29" t="str">
        <x:v>Kurulu Güç, İl</x:v>
      </x:c>
      <x:c r="C39" s="29" t="n">
        <x:v>1</x:v>
      </x:c>
      <x:c r="D39" s="32" t="str">
        <x:v>https://webdosya.csb.gov.tr/db/ced/icerikler/tokat-ilcdr-2024-20250912142307.pdf</x:v>
      </x:c>
      <x:c r="E39" s="101" t="str">
        <x:v>177 HES listesindeki eksik alanları doğrulamak/zenginleştirmek için kullanıldı.</x:v>
      </x:c>
    </x:row>
    <x:row r="40">
      <x:c r="A40" s="119" t="str">
        <x:v>Web</x:v>
      </x:c>
      <x:c r="B40" s="29" t="str">
        <x:v>Kurulu Güç, İl</x:v>
      </x:c>
      <x:c r="C40" s="29" t="n">
        <x:v>2</x:v>
      </x:c>
      <x:c r="D40" s="32" t="str">
        <x:v>https://www.akenerji.com.tr/santrallerimiz</x:v>
      </x:c>
      <x:c r="E40" s="101" t="str">
        <x:v>177 HES listesindeki eksik alanları doğrulamak/zenginleştirmek için kullanıldı.</x:v>
      </x:c>
    </x:row>
    <x:row r="41">
      <x:c r="A41" s="119" t="str">
        <x:v>Web</x:v>
      </x:c>
      <x:c r="B41" s="29" t="str">
        <x:v>Kurulu Güç, İl</x:v>
      </x:c>
      <x:c r="C41" s="29" t="n">
        <x:v>1</x:v>
      </x:c>
      <x:c r="D41" s="32" t="str">
        <x:v>https://www.alarko.com.tr/faaliyet-gruplari/enerji-grubu/</x:v>
      </x:c>
      <x:c r="E41" s="101" t="str">
        <x:v>177 HES listesindeki eksik alanları doğrulamak/zenginleştirmek için kullanıldı.</x:v>
      </x:c>
    </x:row>
    <x:row r="42">
      <x:c r="A42" s="119" t="str">
        <x:v>Web</x:v>
      </x:c>
      <x:c r="B42" s="29" t="str">
        <x:v>Kurulu Güç, İl</x:v>
      </x:c>
      <x:c r="C42" s="29" t="n">
        <x:v>1</x:v>
      </x:c>
      <x:c r="D42" s="32" t="str">
        <x:v>https://www.enerjiatlasi.com/hes-haritasi/siirt</x:v>
      </x:c>
      <x:c r="E42" s="101" t="str">
        <x:v>177 HES listesindeki eksik alanları doğrulamak/zenginleştirmek için kullanıldı.</x:v>
      </x:c>
    </x:row>
    <x:row r="43">
      <x:c r="A43" s="119" t="str">
        <x:v>Web</x:v>
      </x:c>
      <x:c r="B43" s="29" t="str">
        <x:v>İl</x:v>
      </x:c>
      <x:c r="C43" s="29" t="n">
        <x:v>30</x:v>
      </x:c>
      <x:c r="D43" s="32" t="str">
        <x:v>https://www.enerjiatlasi.com/hidroelektrik/?v=1.0.24</x:v>
      </x:c>
      <x:c r="E43" s="101" t="str">
        <x:v>177 HES listesindeki eksik alanları doğrulamak/zenginleştirmek için kullanıldı.</x:v>
      </x:c>
    </x:row>
    <x:row r="44">
      <x:c r="A44" s="119" t="str">
        <x:v>Web</x:v>
      </x:c>
      <x:c r="B44" s="29" t="str">
        <x:v>Kurulu Güç, İl</x:v>
      </x:c>
      <x:c r="C44" s="29" t="n">
        <x:v>1</x:v>
      </x:c>
      <x:c r="D44" s="32" t="str">
        <x:v>https://www.enerjiatlasi.com/hidroelektrik/akkoy-baraji.html</x:v>
      </x:c>
      <x:c r="E44" s="101" t="str">
        <x:v>177 HES listesindeki eksik alanları doğrulamak/zenginleştirmek için kullanıldı.</x:v>
      </x:c>
    </x:row>
    <x:row r="45">
      <x:c r="A45" s="119" t="str">
        <x:v>Web</x:v>
      </x:c>
      <x:c r="B45" s="29" t="str">
        <x:v>İl</x:v>
      </x:c>
      <x:c r="C45" s="29" t="n">
        <x:v>1</x:v>
      </x:c>
      <x:c r="D45" s="32" t="str">
        <x:v>https://www.enerjiatlasi.com/hidroelektrik/dinar-2-hes.html</x:v>
      </x:c>
      <x:c r="E45" s="101" t="str">
        <x:v>177 HES listesindeki eksik alanları doğrulamak/zenginleştirmek için kullanıldı.</x:v>
      </x:c>
    </x:row>
    <x:row r="46">
      <x:c r="A46" s="119" t="str">
        <x:v>Web</x:v>
      </x:c>
      <x:c r="B46" s="29" t="str">
        <x:v>Kurulu Güç, İl</x:v>
      </x:c>
      <x:c r="C46" s="29" t="n">
        <x:v>1</x:v>
      </x:c>
      <x:c r="D46" s="32" t="str">
        <x:v>https://www.enerjiatlasi.com/hidroelektrik/kayakopru-hes.html</x:v>
      </x:c>
      <x:c r="E46" s="101" t="str">
        <x:v>177 HES listesindeki eksik alanları doğrulamak/zenginleştirmek için kullanıldı.</x:v>
      </x:c>
    </x:row>
    <x:row r="47">
      <x:c r="A47" s="119" t="str">
        <x:v>Web</x:v>
      </x:c>
      <x:c r="B47" s="29" t="str">
        <x:v>İl</x:v>
      </x:c>
      <x:c r="C47" s="29" t="n">
        <x:v>1</x:v>
      </x:c>
      <x:c r="D47" s="32" t="str">
        <x:v>https://www.enerturk.com/RHG_SR_2022_TR_18.pdf</x:v>
      </x:c>
      <x:c r="E47" s="101" t="str">
        <x:v>177 HES listesindeki eksik alanları doğrulamak/zenginleştirmek için kullanıldı.</x:v>
      </x:c>
    </x:row>
    <x:row r="48">
      <x:c r="A48" s="119" t="str">
        <x:v>Web</x:v>
      </x:c>
      <x:c r="B48" s="29" t="str">
        <x:v>İl</x:v>
      </x:c>
      <x:c r="C48" s="29" t="n">
        <x:v>1</x:v>
      </x:c>
      <x:c r="D48" s="32" t="str">
        <x:v>https://www.enerturk.com/kurumsal/faaliyetlerimiz/elektrik-uretim/hidroelektrik-santralleri-hes/sumer-hes</x:v>
      </x:c>
      <x:c r="E48" s="101" t="str">
        <x:v>177 HES listesindeki eksik alanları doğrulamak/zenginleştirmek için kullanıldı.</x:v>
      </x:c>
    </x:row>
    <x:row r="49">
      <x:c r="A49" s="119" t="str">
        <x:v>Web</x:v>
      </x:c>
      <x:c r="B49" s="29" t="str">
        <x:v>Kurulu Güç, İl</x:v>
      </x:c>
      <x:c r="C49" s="29" t="n">
        <x:v>1</x:v>
      </x:c>
      <x:c r="D49" s="32" t="str">
        <x:v>https://www.epdk.gov.tr/Detay/Icerik/4-12934/arikenerjiuretimsirketisantralsahasihk</x:v>
      </x:c>
      <x:c r="E49" s="101" t="str">
        <x:v>177 HES listesindeki eksik alanları doğrulamak/zenginleştirmek için kullanıldı.</x:v>
      </x:c>
    </x:row>
    <x:row r="50">
      <x:c r="A50" s="119" t="str">
        <x:v>Web</x:v>
      </x:c>
      <x:c r="B50" s="29" t="str">
        <x:v>Kurulu Güç, İl</x:v>
      </x:c>
      <x:c r="C50" s="29" t="n">
        <x:v>1</x:v>
      </x:c>
      <x:c r="D50" s="32" t="str">
        <x:v>https://www.erciyesenerji.com.tr/santral-bilgileri/</x:v>
      </x:c>
      <x:c r="E50" s="101" t="str">
        <x:v>177 HES listesindeki eksik alanları doğrulamak/zenginleştirmek için kullanıldı.</x:v>
      </x:c>
    </x:row>
    <x:row r="51">
      <x:c r="A51" s="119" t="str">
        <x:v>Web</x:v>
      </x:c>
      <x:c r="B51" s="29" t="str">
        <x:v>Kurulu Güç, İl</x:v>
      </x:c>
      <x:c r="C51" s="29" t="n">
        <x:v>2</x:v>
      </x:c>
      <x:c r="D51" s="32" t="str">
        <x:v>https://www.evrensel.net/haber/5986783/dicle-ve-firat-havzalari-cevre-tahribati-kusatmasinda-244-hes-ve-ges-faaliyette-yuzlercesi-proje-asamasinda</x:v>
      </x:c>
      <x:c r="E51" s="101" t="str">
        <x:v>177 HES listesindeki eksik alanları doğrulamak/zenginleştirmek için kullanıldı.</x:v>
      </x:c>
    </x:row>
    <x:row r="52">
      <x:c r="A52" s="119" t="str">
        <x:v>Web</x:v>
      </x:c>
      <x:c r="B52" s="29" t="str">
        <x:v>Konum</x:v>
      </x:c>
      <x:c r="C52" s="29" t="n">
        <x:v>1</x:v>
      </x:c>
      <x:c r="D52" s="32" t="str">
        <x:v>https://www.gem.wiki/Akinci_Cildir_hydroelectric_plant</x:v>
      </x:c>
      <x:c r="E52" s="101" t="str">
        <x:v>177 HES listesindeki eksik alanları doğrulamak/zenginleştirmek için kullanıldı.</x:v>
      </x:c>
    </x:row>
    <x:row r="53">
      <x:c r="A53" s="119" t="str">
        <x:v>Web</x:v>
      </x:c>
      <x:c r="B53" s="29" t="str">
        <x:v>İl</x:v>
      </x:c>
      <x:c r="C53" s="29" t="n">
        <x:v>1</x:v>
      </x:c>
      <x:c r="D53" s="32" t="str">
        <x:v>https://www.gulsanholding.com.tr/dogankaya_hes.asp?Dil=tr</x:v>
      </x:c>
      <x:c r="E53" s="101" t="str">
        <x:v>177 HES listesindeki eksik alanları doğrulamak/zenginleştirmek için kullanıldı.</x:v>
      </x:c>
    </x:row>
    <x:row r="54">
      <x:c r="A54" s="119" t="str">
        <x:v>Web</x:v>
      </x:c>
      <x:c r="B54" s="29" t="str">
        <x:v>Kurulu Güç, İl</x:v>
      </x:c>
      <x:c r="C54" s="29" t="n">
        <x:v>1</x:v>
      </x:c>
      <x:c r="D54" s="32" t="str">
        <x:v>https://www.kalkinmakutuphanesi.gov.tr/assets/upload/dosyalar/2014-2023-bati-karadeniz-bolge-plani-cilt1-mevcut-durum-analizi-1-2.pdf</x:v>
      </x:c>
      <x:c r="E54" s="101" t="str">
        <x:v>177 HES listesindeki eksik alanları doğrulamak/zenginleştirmek için kullanıldı.</x:v>
      </x:c>
    </x:row>
    <x:row r="55">
      <x:c r="A55" s="119" t="str">
        <x:v>Web</x:v>
      </x:c>
      <x:c r="B55" s="29" t="str">
        <x:v>Kurulu Güç, İl</x:v>
      </x:c>
      <x:c r="C55" s="29" t="n">
        <x:v>2</x:v>
      </x:c>
      <x:c r="D55" s="32" t="str">
        <x:v>https://www.milligazete.com.tr/hidroelektrik-santrali-hes-nedir-turkiyede-kac-tane-hes-var</x:v>
      </x:c>
      <x:c r="E55" s="101" t="str">
        <x:v>177 HES listesindeki eksik alanları doğrulamak/zenginleştirmek için kullanıldı.</x:v>
      </x:c>
    </x:row>
    <x:row r="56">
      <x:c r="A56" s="119" t="str">
        <x:v>Web</x:v>
      </x:c>
      <x:c r="B56" s="29" t="str">
        <x:v>İl</x:v>
      </x:c>
      <x:c r="C56" s="29" t="n">
        <x:v>1</x:v>
      </x:c>
      <x:c r="D56" s="32" t="str">
        <x:v>https://www.tektug.com/projects/kargilik-hes-24-mw/</x:v>
      </x:c>
      <x:c r="E56" s="101" t="str">
        <x:v>177 HES listesindeki eksik alanları doğrulamak/zenginleştirmek için kullanıldı.</x:v>
      </x:c>
    </x:row>
    <x:row r="57">
      <x:c r="A57" s="119" t="str">
        <x:v>Web</x:v>
      </x:c>
      <x:c r="B57" s="29" t="str">
        <x:v>Konum</x:v>
      </x:c>
      <x:c r="C57" s="29" t="n">
        <x:v>1</x:v>
      </x:c>
      <x:c r="D57" s="32" t="str">
        <x:v>https://www.wikidata.org/wiki/Q152556</x:v>
      </x:c>
      <x:c r="E57" s="101" t="str">
        <x:v>177 HES listesindeki eksik alanları doğrulamak/zenginleştirmek için kullanıldı.</x:v>
      </x:c>
    </x:row>
    <x:row r="58">
      <x:c r="A58" s="120" t="str">
        <x:v>Web</x:v>
      </x:c>
      <x:c r="B58" s="121" t="str">
        <x:v>Konum</x:v>
      </x:c>
      <x:c r="C58" s="121" t="n">
        <x:v>1</x:v>
      </x:c>
      <x:c r="D58" s="103" t="str">
        <x:v>https://www.wikidata.org/wiki/Q753776</x:v>
      </x:c>
      <x:c r="E58" s="108" t="str">
        <x:v>177 HES listesindeki eksik alanları doğrulamak/zenginleştirmek için kullanıldı.</x:v>
      </x:c>
    </x:row>
    <x:row r="59">
      <x:c r="A59" s="132" t="str">
        <x:v>Yüklenen Excel</x:v>
      </x:c>
      <x:c r="B59" s="132" t="str">
        <x:v>Eksik HES koordinatlarını trafo merkezi referans noktalarıyla tamamlama</x:v>
      </x:c>
      <x:c r="C59" s="132" t="n">
        <x:v>175</x:v>
      </x:c>
      <x:c r="D59" s="132" t="str">
        <x:v>hes_MERKEZI_LISTESI.xlsx</x:v>
      </x:c>
      <x:c r="E59" s="132" t="str">
        <x:v>v2'de 177 HES içinden 110 güvenli HES–trafo eşleşmesi bulundu. Koordinatı boş olan 79 HES (70 tam ad + 9 kontrollü alias) trafo merkezi koordinatıyla yaklaşık olarak tamamlandı; önceden doğrulanmış HES/baraj koordinatları korunmuştur.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21bf505ffb04d8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4" hidden="0" customWidth="1"/>
    <x:col min="4" max="4" width="72" hidden="0" customWidth="1"/>
  </x:cols>
  <x:sheetData>
    <x:row r="1">
      <x:c r="A1" s="140" t="str">
        <x:v>177 HES — Koordinat Tamamlama / GIS Zenginleştirme Raporu v3</x:v>
      </x:c>
      <x:c r="B1" s="140"/>
      <x:c r="C1" s="140"/>
      <x:c r="D1" s="140"/>
    </x:row>
    <x:row r="2">
      <x:c r="A2" s="132" t="str">
        <x:v>Kaynak</x:v>
      </x:c>
      <x:c r="B2" s="132" t="str">
        <x:v>hes_MERKEZI_LISTESI.xlsx</x:v>
      </x:c>
      <x:c r="C2" s="132"/>
      <x:c r="D2" s="132" t="str">
        <x:v>175 trafo merkezi kaydı</x:v>
      </x:c>
    </x:row>
    <x:row r="3">
      <x:c r="A3" s="132"/>
      <x:c r="B3" s="132"/>
      <x:c r="C3" s="132"/>
      <x:c r="D3" s="132"/>
    </x:row>
    <x:row r="4">
      <x:c r="A4" s="131" t="str">
        <x:v>Gösterge</x:v>
      </x:c>
      <x:c r="B4" s="131" t="str">
        <x:v>Adet</x:v>
      </x:c>
      <x:c r="C4" s="131" t="str">
        <x:v>Oran</x:v>
      </x:c>
      <x:c r="D4" s="131" t="str">
        <x:v>Açıklama</x:v>
      </x:c>
    </x:row>
    <x:row r="5">
      <x:c r="A5" s="132" t="str">
        <x:v>Toplam HES</x:v>
      </x:c>
      <x:c r="B5" s="132" t="n">
        <x:v>177</x:v>
      </x:c>
      <x:c r="C5" s="141" t="n">
        <x:v>1</x:v>
      </x:c>
      <x:c r="D5" s="132" t="str">
        <x:v>Ana HES envanteri</x:v>
      </x:c>
    </x:row>
    <x:row r="6">
      <x:c r="A6" s="132" t="str">
        <x:v>Önceden doğrulanmış HES/baraj koordinatı</x:v>
      </x:c>
      <x:c r="B6" s="132" t="n">
        <x:v>50</x:v>
      </x:c>
      <x:c r="C6" s="141" t="n">
        <x:v>0.2824858757062147</x:v>
      </x:c>
      <x:c r="D6" s="132" t="str">
        <x:v>v1 içindeki santral/baraj noktaları</x:v>
      </x:c>
    </x:row>
    <x:row r="7">
      <x:c r="A7" s="132" t="str">
        <x:v>Trafo merkezi koordinatı ile tamamlanan</x:v>
      </x:c>
      <x:c r="B7" s="132" t="n">
        <x:v>79</x:v>
      </x:c>
      <x:c r="C7" s="141" t="n">
        <x:v>0.4463276836158192</x:v>
      </x:c>
      <x:c r="D7" s="132" t="str">
        <x:v>70 tam ad + 9 kontrollü alias eşleşmesi</x:v>
      </x:c>
    </x:row>
    <x:row r="8">
      <x:c r="A8" s="132" t="str">
        <x:v>v2 haritada kullanılabilir koordinat</x:v>
      </x:c>
      <x:c r="B8" s="132" t="n">
        <x:v>129</x:v>
      </x:c>
      <x:c r="C8" s="141" t="n">
        <x:v>0.7288135593220338</x:v>
      </x:c>
      <x:c r="D8" s="132" t="str">
        <x:v>Doğrulanmış HES/baraj + yaklaşık trafo merkezi referansı</x:v>
      </x:c>
    </x:row>
    <x:row r="9">
      <x:c r="A9" s="132" t="str">
        <x:v>Koordinatı hâlâ eksik</x:v>
      </x:c>
      <x:c r="B9" s="132" t="n">
        <x:v>48</x:v>
      </x:c>
      <x:c r="C9" s="141" t="n">
        <x:v>0.2711864406779661</x:v>
      </x:c>
      <x:c r="D9" s="132" t="str">
        <x:v>Trafo listesinde güvenli eşleşme bulunamadı</x:v>
      </x:c>
    </x:row>
    <x:row r="10">
      <x:c r="A10" s="132" t="str">
        <x:v>Havza ID bulunan</x:v>
      </x:c>
      <x:c r="B10" s="132" t="n">
        <x:v>177</x:v>
      </x:c>
      <x:c r="C10" s="141" t="n">
        <x:v>1</x:v>
      </x:c>
      <x:c r="D10" s="132" t="str">
        <x:v>TATUS havza eşleşmesi</x:v>
      </x:c>
    </x:row>
    <x:row r="11">
      <x:c r="A11" s="132" t="str">
        <x:v>Havza polygon URL bulunan</x:v>
      </x:c>
      <x:c r="B11" s="132" t="n">
        <x:v>177</x:v>
      </x:c>
      <x:c r="C11" s="141" t="n">
        <x:v>1</x:v>
      </x:c>
      <x:c r="D11" s="132" t="str">
        <x:v>Resmî TATUS EPSG:4326 GeoJSON sorgusu</x:v>
      </x:c>
    </x:row>
    <x:row r="12">
      <x:c r="A12" s="132" t="str">
        <x:v>Trafo listesi toplam kayıt</x:v>
      </x:c>
      <x:c r="B12" s="132" t="n">
        <x:v>175</x:v>
      </x:c>
      <x:c r="C12" s="141"/>
      <x:c r="D12" s="132" t="str">
        <x:v>hes_MERKEZI_LISTESI.xlsx</x:v>
      </x:c>
    </x:row>
    <x:row r="13">
      <x:c r="A13" s="132" t="str">
        <x:v>177 HES içinde tam ad trafo eşleşmesi</x:v>
      </x:c>
      <x:c r="B13" s="132" t="n">
        <x:v>101</x:v>
      </x:c>
      <x:c r="C13" s="141" t="n">
        <x:v>0.5706214689265536</x:v>
      </x:c>
      <x:c r="D13" s="132" t="str">
        <x:v>Ad normalizasyonu sonrası birebir</x:v>
      </x:c>
    </x:row>
    <x:row r="14">
      <x:c r="A14" s="132" t="str">
        <x:v>177 HES içinde kontrollü alias trafo eşleşmesi</x:v>
      </x:c>
      <x:c r="B14" s="132" t="n">
        <x:v>9</x:v>
      </x:c>
      <x:c r="C14" s="141" t="n">
        <x:v>0.05084745762711865</x:v>
      </x:c>
      <x:c r="D14" s="132" t="str">
        <x:v>Elle kontrol edilmiş güvenli ad varyantları</x:v>
      </x:c>
    </x:row>
    <x:row r="15">
      <x:c r="A15" s="132" t="str">
        <x:v>Toplam güvenli HES–trafo eşleşmesi</x:v>
      </x:c>
      <x:c r="B15" s="132" t="n">
        <x:v>110</x:v>
      </x:c>
      <x:c r="C15" s="141" t="n">
        <x:v>0.6214689265536724</x:v>
      </x:c>
      <x:c r="D15" s="132" t="str">
        <x:v>Koordinat dolu/boş ayrımı olmadan</x:v>
      </x:c>
    </x:row>
    <x:row r="16">
      <x:c r="A16" s="132"/>
      <x:c r="B16" s="132"/>
      <x:c r="C16" s="132"/>
      <x:c r="D16" s="132"/>
    </x:row>
    <x:row r="17">
      <x:c r="A17" s="131" t="str">
        <x:v>Çapraz doğrulama</x:v>
      </x:c>
      <x:c r="B17" s="131" t="str">
        <x:v>Değer</x:v>
      </x:c>
      <x:c r="C17" s="131"/>
      <x:c r="D17" s="131" t="str">
        <x:v>Açıklama</x:v>
      </x:c>
    </x:row>
    <x:row r="18">
      <x:c r="A18" s="132" t="str">
        <x:v>Hem HES/baraj hem trafo koordinatı olan</x:v>
      </x:c>
      <x:c r="B18" s="132" t="n">
        <x:v>31</x:v>
      </x:c>
      <x:c r="C18" s="132"/>
      <x:c r="D18" s="132" t="str">
        <x:v>İki veri kaynağının doğrudan karşılaştırılabildiği kayıt</x:v>
      </x:c>
    </x:row>
    <x:row r="19">
      <x:c r="A19" s="132" t="str">
        <x:v>Medyan HES–trafo mesafesi (km)</x:v>
      </x:c>
      <x:c r="B19" s="132" t="n">
        <x:v>0.453</x:v>
      </x:c>
      <x:c r="C19" s="132"/>
      <x:c r="D19" s="132" t="str">
        <x:v>Trafo merkezi koordinatı çoğunlukla yakın referans noktasıdır</x:v>
      </x:c>
    </x:row>
    <x:row r="20">
      <x:c r="A20" s="132" t="str">
        <x:v>≤ 1 km</x:v>
      </x:c>
      <x:c r="B20" s="132" t="n">
        <x:v>20</x:v>
      </x:c>
      <x:c r="C20" s="141" t="n">
        <x:v>0.6451612903225806</x:v>
      </x:c>
      <x:c r="D20" s="132"/>
    </x:row>
    <x:row r="21">
      <x:c r="A21" s="132" t="str">
        <x:v>≤ 5 km</x:v>
      </x:c>
      <x:c r="B21" s="132" t="n">
        <x:v>28</x:v>
      </x:c>
      <x:c r="C21" s="141" t="n">
        <x:v>0.9032258064516129</x:v>
      </x:c>
      <x:c r="D21" s="132"/>
    </x:row>
    <x:row r="22">
      <x:c r="A22" s="132" t="str">
        <x:v>&gt; 10 km</x:v>
      </x:c>
      <x:c r="B22" s="132" t="n">
        <x:v>1</x:v>
      </x:c>
      <x:c r="C22" s="141" t="n">
        <x:v>0.03225806451612903</x:v>
      </x:c>
      <x:c r="D22" s="132" t="str">
        <x:v>Trafo noktası santral/barajın kendisi olmayabilir; kesin HES konumu olarak yorumlanmamalıdır</x:v>
      </x:c>
    </x:row>
    <x:row r="23">
      <x:c r="A23" s="132"/>
      <x:c r="B23" s="132"/>
      <x:c r="C23" s="132"/>
      <x:c r="D23" s="132"/>
    </x:row>
    <x:row r="24">
      <x:c r="A24" s="132" t="str">
        <x:v>Kritik kullanım notu</x:v>
      </x:c>
      <x:c r="B24" s="132"/>
      <x:c r="C24" s="132"/>
      <x:c r="D24" s="132" t="str">
        <x:v>Trafo merkezi koordinatları yalnız eksik santral koordinatını harita üzerinde yaklaşık konumlandırmak için kullanıldı. Bunlar santral/barajın kesin fiziksel koordinatı değildir. Önceden doğrulanmış koordinatlar hiçbir zaman trafo noktasıyla değiştirilmedi.</x:v>
      </x:c>
    </x:row>
    <x:row r="25">
      <x:c r="A25" s="132"/>
      <x:c r="B25" s="132"/>
      <x:c r="C25" s="132"/>
      <x:c r="D25" s="132"/>
    </x:row>
    <x:row r="26">
      <x:c r="A26" s="184" t="str">
        <x:v>v3 GIS Güncellemesi</x:v>
      </x:c>
      <x:c r="B26" s="184" t="str">
        <x:v>Adet</x:v>
      </x:c>
      <x:c r="C26" s="184" t="str">
        <x:v>Oran</x:v>
      </x:c>
      <x:c r="D26" s="184" t="str">
        <x:v>Açıklama</x:v>
      </x:c>
    </x:row>
    <x:row r="27">
      <x:c r="A27" s="133" t="str">
        <x:v>v2 kullanılabilir koordinat</x:v>
      </x:c>
      <x:c r="B27" s="185" t="n">
        <x:v>129</x:v>
      </x:c>
      <x:c r="C27" s="186" t="n">
        <x:v>0.7288135593220338</x:v>
      </x:c>
      <x:c r="D27" s="133" t="str">
        <x:v>Doğrulanmış HES/baraj + trafo referansı</x:v>
      </x:c>
    </x:row>
    <x:row r="28">
      <x:c r="A28" s="133" t="str">
        <x:v>TATUS baraj gözlem point fallback ile yeni tamamlanan</x:v>
      </x:c>
      <x:c r="B28" s="185" t="n">
        <x:v>11</x:v>
      </x:c>
      <x:c r="C28" s="186" t="n">
        <x:v>0.062146892655367235</x:v>
      </x:c>
      <x:c r="D28" s="133" t="str">
        <x:v>Yalnız güvenli aynı-havza exact/rezervuar/controlled-alias eşleşmeleri</x:v>
      </x:c>
    </x:row>
    <x:row r="29">
      <x:c r="A29" s="133" t="str">
        <x:v>v3 kullanılabilir HES point</x:v>
      </x:c>
      <x:c r="B29" s="185" t="n">
        <x:v>140</x:v>
      </x:c>
      <x:c r="C29" s="186" t="n">
        <x:v>0.7909604519774012</x:v>
      </x:c>
      <x:c r="D29" s="133" t="str">
        <x:v>Haritada kullanılabilir Point; trafo noktaları yaklaşık olarak etiketlidir</x:v>
      </x:c>
    </x:row>
    <x:row r="30">
      <x:c r="A30" s="133" t="str">
        <x:v>Koordinatı hâlâ eksik</x:v>
      </x:c>
      <x:c r="B30" s="185" t="n">
        <x:v>37</x:v>
      </x:c>
      <x:c r="C30" s="186" t="n">
        <x:v>0.20903954802259886</x:v>
      </x:c>
      <x:c r="D30" s="133" t="str">
        <x:v>TATUS baraj point ve mevcut kaynaklarda güvenli konum bulunamadı</x:v>
      </x:c>
    </x:row>
    <x:row r="31">
      <x:c r="A31" s="133" t="str">
        <x:v>Workbook içinde doğrudan TATUS baraj Point</x:v>
      </x:c>
      <x:c r="B31" s="185" t="n">
        <x:v>48</x:v>
      </x:c>
      <x:c r="C31" s="186" t="n">
        <x:v>0.2711864406779661</x:v>
      </x:c>
      <x:c r="D31" s="133" t="str">
        <x:v>Mevcut resmî TATUS kaynaklı noktalar + yeni fallbackler</x:v>
      </x:c>
    </x:row>
    <x:row r="32">
      <x:c r="A32" s="133" t="str">
        <x:v>Akarsu Polyline spatial GeoJSON sorgu URL</x:v>
      </x:c>
      <x:c r="B32" s="185" t="n">
        <x:v>140</x:v>
      </x:c>
      <x:c r="C32" s="186" t="n">
        <x:v>0.7909604519774012</x:v>
      </x:c>
      <x:c r="D32" s="133" t="str">
        <x:v>TATUS FeatureServer/8; 5 km spatial query; uygun LineString app/script tarafından seçilmeli</x:v>
      </x:c>
    </x:row>
    <x:row r="33">
      <x:c r="A33" s="133" t="str">
        <x:v>Su Toplama Alanı Polygon sorgu URL</x:v>
      </x:c>
      <x:c r="B33" s="185" t="n">
        <x:v>140</x:v>
      </x:c>
      <x:c r="C33" s="186" t="n">
        <x:v>0.7909604519774012</x:v>
      </x:c>
      <x:c r="D33" s="133" t="str">
        <x:v>TATUS FeatureServer/9; sorgu noktasını içeren polygon</x:v>
      </x:c>
    </x:row>
    <x:row r="34">
      <x:c r="A34" s="133" t="str">
        <x:v>Havza polygon URL</x:v>
      </x:c>
      <x:c r="B34" s="185" t="n">
        <x:v>177</x:v>
      </x:c>
      <x:c r="C34" s="186" t="n">
        <x:v>1</x:v>
      </x:c>
      <x:c r="D34" s="133" t="str">
        <x:v>TATUS FeatureServer/11; v2'den korunmuştur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4" hidden="0" customWidth="1"/>
    <x:col min="5" max="5" width="10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24" hidden="0" customWidth="1"/>
    <x:col min="11" max="11" width="16" hidden="0" customWidth="1"/>
    <x:col min="12" max="12" width="14" hidden="0" customWidth="1"/>
    <x:col min="13" max="13" width="30" hidden="0" customWidth="1"/>
  </x:cols>
  <x:sheetData>
    <x:row r="1">
      <x:c r="A1" s="131" t="str">
        <x:v>HES</x:v>
      </x:c>
      <x:c r="B1" s="131" t="str">
        <x:v>İl</x:v>
      </x:c>
      <x:c r="C1" s="131" t="str">
        <x:v>Orijinal Enlem</x:v>
      </x:c>
      <x:c r="D1" s="131" t="str">
        <x:v>Orijinal Boylam</x:v>
      </x:c>
      <x:c r="E1" s="131" t="str">
        <x:v>TM ID</x:v>
      </x:c>
      <x:c r="F1" s="131" t="str">
        <x:v>Trafo Merkezi</x:v>
      </x:c>
      <x:c r="G1" s="131" t="str">
        <x:v>TM İli</x:v>
      </x:c>
      <x:c r="H1" s="131" t="str">
        <x:v>TM Enlem</x:v>
      </x:c>
      <x:c r="I1" s="131" t="str">
        <x:v>TM Boylam</x:v>
      </x:c>
      <x:c r="J1" s="131" t="str">
        <x:v>Eşleşme Türü</x:v>
      </x:c>
      <x:c r="K1" s="131" t="str">
        <x:v>Güven</x:v>
      </x:c>
      <x:c r="L1" s="131" t="str">
        <x:v>Mesafe km</x:v>
      </x:c>
      <x:c r="M1" s="131" t="str">
        <x:v>Koordinat için kullanıldı mı?</x:v>
      </x:c>
    </x:row>
    <x:row r="2">
      <x:c r="A2" s="132" t="str">
        <x:v>ADIGÜZEL HES</x:v>
      </x:c>
      <x:c r="B2" s="132" t="str">
        <x:v>DENİZLİ</x:v>
      </x:c>
      <x:c r="C2" s="142" t="n">
        <x:v>38.15861</x:v>
      </x:c>
      <x:c r="D2" s="142" t="n">
        <x:v>29.20555</x:v>
      </x:c>
      <x:c r="E2" s="132" t="n">
        <x:v>570</x:v>
      </x:c>
      <x:c r="F2" s="132" t="str">
        <x:v>ADIGÜZEL HES</x:v>
      </x:c>
      <x:c r="G2" s="132" t="str">
        <x:v>Denizli</x:v>
      </x:c>
      <x:c r="H2" s="142" t="n">
        <x:v>38.152</x:v>
      </x:c>
      <x:c r="I2" s="142" t="n">
        <x:v>29.206</x:v>
      </x:c>
      <x:c r="J2" s="132" t="str">
        <x:v>Tam ad eşleşmesi</x:v>
      </x:c>
      <x:c r="K2" s="132" t="str">
        <x:v>Yüksek</x:v>
      </x:c>
      <x:c r="L2" s="143" t="n">
        <x:v>0.736</x:v>
      </x:c>
      <x:c r="M2" s="132" t="str">
        <x:v>Hayır — mevcut HES/baraj koordinatı korundu</x:v>
      </x:c>
    </x:row>
    <x:row r="3">
      <x:c r="A3" s="132" t="str">
        <x:v>AKKÖPRÜ HES</x:v>
      </x:c>
      <x:c r="B3" s="132" t="str">
        <x:v>MUĞLA</x:v>
      </x:c>
      <x:c r="C3" s="142"/>
      <x:c r="D3" s="142"/>
      <x:c r="E3" s="132" t="n">
        <x:v>456</x:v>
      </x:c>
      <x:c r="F3" s="132" t="str">
        <x:v>AKKÖPRÜ HES</x:v>
      </x:c>
      <x:c r="G3" s="132" t="str">
        <x:v>Muğla</x:v>
      </x:c>
      <x:c r="H3" s="142" t="n">
        <x:v>36.899</x:v>
      </x:c>
      <x:c r="I3" s="142" t="n">
        <x:v>28.897</x:v>
      </x:c>
      <x:c r="J3" s="132" t="str">
        <x:v>Tam ad eşleşmesi</x:v>
      </x:c>
      <x:c r="K3" s="132" t="str">
        <x:v>Yüksek</x:v>
      </x:c>
      <x:c r="L3" s="143"/>
      <x:c r="M3" s="132" t="str">
        <x:v>Evet</x:v>
      </x:c>
    </x:row>
    <x:row r="4">
      <x:c r="A4" s="132" t="str">
        <x:v>AKŞAR NAZAR HES</x:v>
      </x:c>
      <x:c r="B4" s="132" t="str">
        <x:v>BİTLİS</x:v>
      </x:c>
      <x:c r="C4" s="142"/>
      <x:c r="D4" s="142"/>
      <x:c r="E4" s="132" t="n">
        <x:v>1504</x:v>
      </x:c>
      <x:c r="F4" s="132" t="str">
        <x:v>AKŞAR NAZAR HES</x:v>
      </x:c>
      <x:c r="G4" s="132" t="str">
        <x:v>Bitlis</x:v>
      </x:c>
      <x:c r="H4" s="142" t="n">
        <x:v>38.14</x:v>
      </x:c>
      <x:c r="I4" s="142" t="n">
        <x:v>42.429</x:v>
      </x:c>
      <x:c r="J4" s="132" t="str">
        <x:v>Tam ad eşleşmesi</x:v>
      </x:c>
      <x:c r="K4" s="132" t="str">
        <x:v>Yüksek</x:v>
      </x:c>
      <x:c r="L4" s="143"/>
      <x:c r="M4" s="132" t="str">
        <x:v>Evet</x:v>
      </x:c>
    </x:row>
    <x:row r="5">
      <x:c r="A5" s="132" t="str">
        <x:v>ALKUMRU HES</x:v>
      </x:c>
      <x:c r="B5" s="132" t="str">
        <x:v>SİİRT</x:v>
      </x:c>
      <x:c r="C5" s="142"/>
      <x:c r="D5" s="142"/>
      <x:c r="E5" s="132" t="n">
        <x:v>690</x:v>
      </x:c>
      <x:c r="F5" s="132" t="str">
        <x:v>ALKUMRU HES</x:v>
      </x:c>
      <x:c r="G5" s="132" t="str">
        <x:v>Siirt</x:v>
      </x:c>
      <x:c r="H5" s="142" t="n">
        <x:v>37.955</x:v>
      </x:c>
      <x:c r="I5" s="142" t="n">
        <x:v>42.091</x:v>
      </x:c>
      <x:c r="J5" s="132" t="str">
        <x:v>Tam ad eşleşmesi</x:v>
      </x:c>
      <x:c r="K5" s="132" t="str">
        <x:v>Yüksek</x:v>
      </x:c>
      <x:c r="L5" s="143"/>
      <x:c r="M5" s="132" t="str">
        <x:v>Evet</x:v>
      </x:c>
    </x:row>
    <x:row r="6">
      <x:c r="A6" s="132" t="str">
        <x:v>ALMUS HES</x:v>
      </x:c>
      <x:c r="B6" s="132" t="str">
        <x:v>TOKAT</x:v>
      </x:c>
      <x:c r="C6" s="142" t="n">
        <x:v>40.40784</x:v>
      </x:c>
      <x:c r="D6" s="142" t="n">
        <x:v>36.90323</x:v>
      </x:c>
      <x:c r="E6" s="132" t="n">
        <x:v>790</x:v>
      </x:c>
      <x:c r="F6" s="132" t="str">
        <x:v>ALMUS HES</x:v>
      </x:c>
      <x:c r="G6" s="132" t="str">
        <x:v>Tokat</x:v>
      </x:c>
      <x:c r="H6" s="142" t="n">
        <x:v>40.406</x:v>
      </x:c>
      <x:c r="I6" s="142" t="n">
        <x:v>36.899</x:v>
      </x:c>
      <x:c r="J6" s="132" t="str">
        <x:v>Tam ad eşleşmesi</x:v>
      </x:c>
      <x:c r="K6" s="132" t="str">
        <x:v>Yüksek</x:v>
      </x:c>
      <x:c r="L6" s="143" t="n">
        <x:v>0.412</x:v>
      </x:c>
      <x:c r="M6" s="132" t="str">
        <x:v>Hayır — mevcut HES/baraj koordinatı korundu</x:v>
      </x:c>
    </x:row>
    <x:row r="7">
      <x:c r="A7" s="132" t="str">
        <x:v>ALPASLAN1 HES</x:v>
      </x:c>
      <x:c r="B7" s="132" t="str">
        <x:v>MUŞ</x:v>
      </x:c>
      <x:c r="C7" s="142"/>
      <x:c r="D7" s="142"/>
      <x:c r="E7" s="132" t="n">
        <x:v>2506</x:v>
      </x:c>
      <x:c r="F7" s="132" t="str">
        <x:v>ALPASLAN1 HES</x:v>
      </x:c>
      <x:c r="G7" s="132" t="str">
        <x:v>Muş</x:v>
      </x:c>
      <x:c r="H7" s="142" t="n">
        <x:v>39.053</x:v>
      </x:c>
      <x:c r="I7" s="142" t="n">
        <x:v>41.815</x:v>
      </x:c>
      <x:c r="J7" s="132" t="str">
        <x:v>Tam ad eşleşmesi</x:v>
      </x:c>
      <x:c r="K7" s="132" t="str">
        <x:v>Yüksek</x:v>
      </x:c>
      <x:c r="L7" s="143"/>
      <x:c r="M7" s="132" t="str">
        <x:v>Evet</x:v>
      </x:c>
    </x:row>
    <x:row r="8">
      <x:c r="A8" s="132" t="str">
        <x:v>ALPASLAN2 HES</x:v>
      </x:c>
      <x:c r="B8" s="132" t="str">
        <x:v>MUŞ</x:v>
      </x:c>
      <x:c r="C8" s="142"/>
      <x:c r="D8" s="142"/>
      <x:c r="E8" s="132" t="n">
        <x:v>1736</x:v>
      </x:c>
      <x:c r="F8" s="132" t="str">
        <x:v>ALPASLAN2 HES</x:v>
      </x:c>
      <x:c r="G8" s="132" t="str">
        <x:v>Muş</x:v>
      </x:c>
      <x:c r="H8" s="142" t="n">
        <x:v>39.033</x:v>
      </x:c>
      <x:c r="I8" s="142" t="n">
        <x:v>41.519</x:v>
      </x:c>
      <x:c r="J8" s="132" t="str">
        <x:v>Tam ad eşleşmesi</x:v>
      </x:c>
      <x:c r="K8" s="132" t="str">
        <x:v>Yüksek</x:v>
      </x:c>
      <x:c r="L8" s="143"/>
      <x:c r="M8" s="132" t="str">
        <x:v>Evet</x:v>
      </x:c>
    </x:row>
    <x:row r="9">
      <x:c r="A9" s="132" t="str">
        <x:v>ALTINKAYA HES</x:v>
      </x:c>
      <x:c r="B9" s="132" t="str">
        <x:v>SAMSUN</x:v>
      </x:c>
      <x:c r="C9" s="142" t="n">
        <x:v>41.363333</x:v>
      </x:c>
      <x:c r="D9" s="142" t="n">
        <x:v>35.724167</x:v>
      </x:c>
      <x:c r="E9" s="132" t="n">
        <x:v>593</x:v>
      </x:c>
      <x:c r="F9" s="132" t="str">
        <x:v>ALTINKAYA HES</x:v>
      </x:c>
      <x:c r="G9" s="132" t="str">
        <x:v>Samsun</x:v>
      </x:c>
      <x:c r="H9" s="142" t="n">
        <x:v>41.364</x:v>
      </x:c>
      <x:c r="I9" s="142" t="n">
        <x:v>35.729</x:v>
      </x:c>
      <x:c r="J9" s="132" t="str">
        <x:v>Tam ad eşleşmesi</x:v>
      </x:c>
      <x:c r="K9" s="132" t="str">
        <x:v>Yüksek</x:v>
      </x:c>
      <x:c r="L9" s="143" t="n">
        <x:v>0.41</x:v>
      </x:c>
      <x:c r="M9" s="132" t="str">
        <x:v>Hayır — mevcut HES/baraj koordinatı korundu</x:v>
      </x:c>
    </x:row>
    <x:row r="10">
      <x:c r="A10" s="132" t="str">
        <x:v>ANDIRIN HES</x:v>
      </x:c>
      <x:c r="B10" s="132" t="str">
        <x:v>KAHRAMANMARAŞ</x:v>
      </x:c>
      <x:c r="C10" s="142"/>
      <x:c r="D10" s="142"/>
      <x:c r="E10" s="132" t="n">
        <x:v>457</x:v>
      </x:c>
      <x:c r="F10" s="132" t="str">
        <x:v>ANDIRIN HES</x:v>
      </x:c>
      <x:c r="G10" s="132" t="str">
        <x:v>Kahramanmaraş</x:v>
      </x:c>
      <x:c r="H10" s="142" t="n">
        <x:v>37.533</x:v>
      </x:c>
      <x:c r="I10" s="142" t="n">
        <x:v>36.241</x:v>
      </x:c>
      <x:c r="J10" s="132" t="str">
        <x:v>Tam ad eşleşmesi</x:v>
      </x:c>
      <x:c r="K10" s="132" t="str">
        <x:v>Yüksek</x:v>
      </x:c>
      <x:c r="L10" s="143"/>
      <x:c r="M10" s="132" t="str">
        <x:v>Evet</x:v>
      </x:c>
    </x:row>
    <x:row r="11">
      <x:c r="A11" s="132" t="str">
        <x:v>ARKUN HES</x:v>
      </x:c>
      <x:c r="B11" s="132" t="str">
        <x:v>ERZURUM</x:v>
      </x:c>
      <x:c r="C11" s="142"/>
      <x:c r="D11" s="142"/>
      <x:c r="E11" s="132" t="n">
        <x:v>1186</x:v>
      </x:c>
      <x:c r="F11" s="132" t="str">
        <x:v>ARKUN HES</x:v>
      </x:c>
      <x:c r="G11" s="132" t="str">
        <x:v>Artvin</x:v>
      </x:c>
      <x:c r="H11" s="142" t="n">
        <x:v>40.719</x:v>
      </x:c>
      <x:c r="I11" s="142" t="n">
        <x:v>41.418</x:v>
      </x:c>
      <x:c r="J11" s="132" t="str">
        <x:v>Tam ad eşleşmesi</x:v>
      </x:c>
      <x:c r="K11" s="132" t="str">
        <x:v>Yüksek</x:v>
      </x:c>
      <x:c r="L11" s="143"/>
      <x:c r="M11" s="132" t="str">
        <x:v>Evet</x:v>
      </x:c>
    </x:row>
    <x:row r="12">
      <x:c r="A12" s="132" t="str">
        <x:v>ARTVİN HES</x:v>
      </x:c>
      <x:c r="B12" s="132" t="str">
        <x:v>ARTVİN</x:v>
      </x:c>
      <x:c r="C12" s="142"/>
      <x:c r="D12" s="142"/>
      <x:c r="E12" s="132" t="n">
        <x:v>1290</x:v>
      </x:c>
      <x:c r="F12" s="132" t="str">
        <x:v>ARTVİN HES</x:v>
      </x:c>
      <x:c r="G12" s="132" t="str">
        <x:v>Artvin</x:v>
      </x:c>
      <x:c r="H12" s="142" t="n">
        <x:v>40.951</x:v>
      </x:c>
      <x:c r="I12" s="142" t="n">
        <x:v>41.763</x:v>
      </x:c>
      <x:c r="J12" s="132" t="str">
        <x:v>Tam ad eşleşmesi</x:v>
      </x:c>
      <x:c r="K12" s="132" t="str">
        <x:v>Yüksek</x:v>
      </x:c>
      <x:c r="L12" s="143"/>
      <x:c r="M12" s="132" t="str">
        <x:v>Evet</x:v>
      </x:c>
    </x:row>
    <x:row r="13">
      <x:c r="A13" s="132" t="str">
        <x:v>ASLANCIK HES</x:v>
      </x:c>
      <x:c r="B13" s="132" t="str">
        <x:v>GİRESUN</x:v>
      </x:c>
      <x:c r="C13" s="142"/>
      <x:c r="D13" s="142"/>
      <x:c r="E13" s="132" t="n">
        <x:v>831</x:v>
      </x:c>
      <x:c r="F13" s="132" t="str">
        <x:v>ASLANCIK HES</x:v>
      </x:c>
      <x:c r="G13" s="132" t="str">
        <x:v>Giresun</x:v>
      </x:c>
      <x:c r="H13" s="142" t="n">
        <x:v>40.911</x:v>
      </x:c>
      <x:c r="I13" s="142" t="n">
        <x:v>38.846</x:v>
      </x:c>
      <x:c r="J13" s="132" t="str">
        <x:v>Tam ad eşleşmesi</x:v>
      </x:c>
      <x:c r="K13" s="132" t="str">
        <x:v>Yüksek</x:v>
      </x:c>
      <x:c r="L13" s="143"/>
      <x:c r="M13" s="132" t="str">
        <x:v>Evet</x:v>
      </x:c>
    </x:row>
    <x:row r="14">
      <x:c r="A14" s="132" t="str">
        <x:v>ASLANTAŞ HES</x:v>
      </x:c>
      <x:c r="B14" s="132" t="str">
        <x:v>ADANA</x:v>
      </x:c>
      <x:c r="C14" s="142" t="n">
        <x:v>37.2729</x:v>
      </x:c>
      <x:c r="D14" s="142" t="n">
        <x:v>36.27156</x:v>
      </x:c>
      <x:c r="E14" s="132" t="n">
        <x:v>68</x:v>
      </x:c>
      <x:c r="F14" s="132" t="str">
        <x:v>ASLANTAŞ HES</x:v>
      </x:c>
      <x:c r="G14" s="132" t="str">
        <x:v>Osmaniye</x:v>
      </x:c>
      <x:c r="H14" s="142" t="n">
        <x:v>37.271</x:v>
      </x:c>
      <x:c r="I14" s="142" t="n">
        <x:v>36.274</x:v>
      </x:c>
      <x:c r="J14" s="132" t="str">
        <x:v>Tam ad eşleşmesi</x:v>
      </x:c>
      <x:c r="K14" s="132" t="str">
        <x:v>Yüksek</x:v>
      </x:c>
      <x:c r="L14" s="143" t="n">
        <x:v>0.302</x:v>
      </x:c>
      <x:c r="M14" s="132" t="str">
        <x:v>Hayır — mevcut HES/baraj koordinatı korundu</x:v>
      </x:c>
    </x:row>
    <x:row r="15">
      <x:c r="A15" s="132" t="str">
        <x:v>AŞAĞI KALEKÖY HES</x:v>
      </x:c>
      <x:c r="B15" s="132" t="str">
        <x:v>BİNGÖL</x:v>
      </x:c>
      <x:c r="C15" s="142"/>
      <x:c r="D15" s="142"/>
      <x:c r="E15" s="132" t="n">
        <x:v>1528</x:v>
      </x:c>
      <x:c r="F15" s="132" t="str">
        <x:v>AŞAĞI KALEKÖY HES</x:v>
      </x:c>
      <x:c r="G15" s="132" t="str">
        <x:v>Bingöl</x:v>
      </x:c>
      <x:c r="H15" s="142" t="n">
        <x:v>38.836</x:v>
      </x:c>
      <x:c r="I15" s="142" t="n">
        <x:v>40.72</x:v>
      </x:c>
      <x:c r="J15" s="132" t="str">
        <x:v>Tam ad eşleşmesi</x:v>
      </x:c>
      <x:c r="K15" s="132" t="str">
        <x:v>Yüksek</x:v>
      </x:c>
      <x:c r="L15" s="143"/>
      <x:c r="M15" s="132" t="str">
        <x:v>Evet</x:v>
      </x:c>
    </x:row>
    <x:row r="16">
      <x:c r="A16" s="132" t="str">
        <x:v>ATATÜRK HES</x:v>
      </x:c>
      <x:c r="B16" s="132" t="str">
        <x:v>ŞANLIURFA</x:v>
      </x:c>
      <x:c r="C16" s="142" t="n">
        <x:v>37.481667</x:v>
      </x:c>
      <x:c r="D16" s="142" t="n">
        <x:v>38.3175</x:v>
      </x:c>
      <x:c r="E16" s="132" t="n">
        <x:v>359</x:v>
      </x:c>
      <x:c r="F16" s="132" t="str">
        <x:v>ATATÜRK HES</x:v>
      </x:c>
      <x:c r="G16" s="132" t="str">
        <x:v>Şanlıurfa</x:v>
      </x:c>
      <x:c r="H16" s="142" t="n">
        <x:v>37.457</x:v>
      </x:c>
      <x:c r="I16" s="142" t="n">
        <x:v>38.308</x:v>
      </x:c>
      <x:c r="J16" s="132" t="str">
        <x:v>Tam ad eşleşmesi</x:v>
      </x:c>
      <x:c r="K16" s="132" t="str">
        <x:v>Yüksek</x:v>
      </x:c>
      <x:c r="L16" s="143" t="n">
        <x:v>2.868</x:v>
      </x:c>
      <x:c r="M16" s="132" t="str">
        <x:v>Hayır — mevcut HES/baraj koordinatı korundu</x:v>
      </x:c>
    </x:row>
    <x:row r="17">
      <x:c r="A17" s="132" t="str">
        <x:v>AYVALI HES</x:v>
      </x:c>
      <x:c r="B17" s="132" t="str">
        <x:v>ERZURUM</x:v>
      </x:c>
      <x:c r="C17" s="142"/>
      <x:c r="D17" s="142"/>
      <x:c r="E17" s="132" t="n">
        <x:v>1280</x:v>
      </x:c>
      <x:c r="F17" s="132" t="str">
        <x:v>AYVALI HES</x:v>
      </x:c>
      <x:c r="G17" s="132" t="str">
        <x:v>Erzurum</x:v>
      </x:c>
      <x:c r="H17" s="142" t="n">
        <x:v>40.754</x:v>
      </x:c>
      <x:c r="I17" s="142" t="n">
        <x:v>41.835</x:v>
      </x:c>
      <x:c r="J17" s="132" t="str">
        <x:v>Tam ad eşleşmesi</x:v>
      </x:c>
      <x:c r="K17" s="132" t="str">
        <x:v>Yüksek</x:v>
      </x:c>
      <x:c r="L17" s="143"/>
      <x:c r="M17" s="132" t="str">
        <x:v>Evet</x:v>
      </x:c>
    </x:row>
    <x:row r="18">
      <x:c r="A18" s="132" t="str">
        <x:v>BAĞIŞTAŞ1 HES</x:v>
      </x:c>
      <x:c r="B18" s="132" t="str">
        <x:v>ERZİNCAN</x:v>
      </x:c>
      <x:c r="C18" s="142"/>
      <x:c r="D18" s="142"/>
      <x:c r="E18" s="132" t="n">
        <x:v>1439</x:v>
      </x:c>
      <x:c r="F18" s="132" t="str">
        <x:v>BAĞIŞTAŞ1 HES</x:v>
      </x:c>
      <x:c r="G18" s="132" t="str">
        <x:v>Erzincan</x:v>
      </x:c>
      <x:c r="H18" s="142" t="n">
        <x:v>39.448</x:v>
      </x:c>
      <x:c r="I18" s="142" t="n">
        <x:v>38.52</x:v>
      </x:c>
      <x:c r="J18" s="132" t="str">
        <x:v>Tam ad eşleşmesi</x:v>
      </x:c>
      <x:c r="K18" s="132" t="str">
        <x:v>Yüksek</x:v>
      </x:c>
      <x:c r="L18" s="143"/>
      <x:c r="M18" s="132" t="str">
        <x:v>Evet</x:v>
      </x:c>
    </x:row>
    <x:row r="19">
      <x:c r="A19" s="132" t="str">
        <x:v>BAĞIŞTAŞ2 HES</x:v>
      </x:c>
      <x:c r="B19" s="132" t="str">
        <x:v>ERZİNCAN</x:v>
      </x:c>
      <x:c r="C19" s="142"/>
      <x:c r="D19" s="142"/>
      <x:c r="E19" s="132" t="n">
        <x:v>1440</x:v>
      </x:c>
      <x:c r="F19" s="132" t="str">
        <x:v>BAĞIŞTAŞ2 HES</x:v>
      </x:c>
      <x:c r="G19" s="132" t="str">
        <x:v>Erzincan</x:v>
      </x:c>
      <x:c r="H19" s="142" t="n">
        <x:v>39.428</x:v>
      </x:c>
      <x:c r="I19" s="142" t="n">
        <x:v>38.41</x:v>
      </x:c>
      <x:c r="J19" s="132" t="str">
        <x:v>Tam ad eşleşmesi</x:v>
      </x:c>
      <x:c r="K19" s="132" t="str">
        <x:v>Yüksek</x:v>
      </x:c>
      <x:c r="L19" s="143"/>
      <x:c r="M19" s="132" t="str">
        <x:v>Evet</x:v>
      </x:c>
    </x:row>
    <x:row r="20">
      <x:c r="A20" s="132" t="str">
        <x:v>BATMAN HES</x:v>
      </x:c>
      <x:c r="B20" s="132" t="str">
        <x:v>BATMAN</x:v>
      </x:c>
      <x:c r="C20" s="142"/>
      <x:c r="D20" s="142"/>
      <x:c r="E20" s="132" t="n">
        <x:v>609</x:v>
      </x:c>
      <x:c r="F20" s="132" t="str">
        <x:v>BATMAN HES</x:v>
      </x:c>
      <x:c r="G20" s="132" t="str">
        <x:v>Batman</x:v>
      </x:c>
      <x:c r="H20" s="142" t="n">
        <x:v>38.158</x:v>
      </x:c>
      <x:c r="I20" s="142" t="n">
        <x:v>41.203</x:v>
      </x:c>
      <x:c r="J20" s="132" t="str">
        <x:v>Tam ad eşleşmesi</x:v>
      </x:c>
      <x:c r="K20" s="132" t="str">
        <x:v>Yüksek</x:v>
      </x:c>
      <x:c r="L20" s="143"/>
      <x:c r="M20" s="132" t="str">
        <x:v>Evet</x:v>
      </x:c>
    </x:row>
    <x:row r="21">
      <x:c r="A21" s="132" t="str">
        <x:v>BAYRAMHACILI HES</x:v>
      </x:c>
      <x:c r="B21" s="132" t="str">
        <x:v>NEVŞEHİR</x:v>
      </x:c>
      <x:c r="C21" s="142"/>
      <x:c r="D21" s="142"/>
      <x:c r="E21" s="132" t="n">
        <x:v>7</x:v>
      </x:c>
      <x:c r="F21" s="132" t="str">
        <x:v>BAYRAMHACILI HES</x:v>
      </x:c>
      <x:c r="G21" s="132" t="str">
        <x:v>Nevşehir</x:v>
      </x:c>
      <x:c r="H21" s="142" t="n">
        <x:v>38.763</x:v>
      </x:c>
      <x:c r="I21" s="142" t="n">
        <x:v>34.967</x:v>
      </x:c>
      <x:c r="J21" s="132" t="str">
        <x:v>Tam ad eşleşmesi</x:v>
      </x:c>
      <x:c r="K21" s="132" t="str">
        <x:v>Yüksek</x:v>
      </x:c>
      <x:c r="L21" s="143"/>
      <x:c r="M21" s="132" t="str">
        <x:v>Evet</x:v>
      </x:c>
    </x:row>
    <x:row r="22">
      <x:c r="A22" s="132" t="str">
        <x:v>BERKE HES</x:v>
      </x:c>
      <x:c r="B22" s="132" t="str">
        <x:v>OSMANİYE</x:v>
      </x:c>
      <x:c r="C22" s="142" t="n">
        <x:v>37.37308</x:v>
      </x:c>
      <x:c r="D22" s="142" t="n">
        <x:v>36.46155</x:v>
      </x:c>
      <x:c r="E22" s="132" t="n">
        <x:v>74</x:v>
      </x:c>
      <x:c r="F22" s="132" t="str">
        <x:v>BERKE HES</x:v>
      </x:c>
      <x:c r="G22" s="132" t="str">
        <x:v>Osmaniye</x:v>
      </x:c>
      <x:c r="H22" s="142" t="n">
        <x:v>37.369</x:v>
      </x:c>
      <x:c r="I22" s="142" t="n">
        <x:v>36.442</x:v>
      </x:c>
      <x:c r="J22" s="132" t="str">
        <x:v>Tam ad eşleşmesi</x:v>
      </x:c>
      <x:c r="K22" s="132" t="str">
        <x:v>Yüksek</x:v>
      </x:c>
      <x:c r="L22" s="143" t="n">
        <x:v>1.786</x:v>
      </x:c>
      <x:c r="M22" s="132" t="str">
        <x:v>Hayır — mevcut HES/baraj koordinatı korundu</x:v>
      </x:c>
    </x:row>
    <x:row r="23">
      <x:c r="A23" s="132" t="str">
        <x:v>BEYHAN1 HES</x:v>
      </x:c>
      <x:c r="B23" s="132" t="str">
        <x:v>ELAZIĞ</x:v>
      </x:c>
      <x:c r="C23" s="142"/>
      <x:c r="D23" s="142"/>
      <x:c r="E23" s="132" t="n">
        <x:v>1225</x:v>
      </x:c>
      <x:c r="F23" s="132" t="str">
        <x:v>BEYHAN1 HES</x:v>
      </x:c>
      <x:c r="G23" s="132" t="str">
        <x:v>Elazığ</x:v>
      </x:c>
      <x:c r="H23" s="142" t="n">
        <x:v>38.743</x:v>
      </x:c>
      <x:c r="I23" s="142" t="n">
        <x:v>40.128</x:v>
      </x:c>
      <x:c r="J23" s="132" t="str">
        <x:v>Tam ad eşleşmesi</x:v>
      </x:c>
      <x:c r="K23" s="132" t="str">
        <x:v>Yüksek</x:v>
      </x:c>
      <x:c r="L23" s="143"/>
      <x:c r="M23" s="132" t="str">
        <x:v>Evet</x:v>
      </x:c>
    </x:row>
    <x:row r="24">
      <x:c r="A24" s="132" t="str">
        <x:v>BİRECİK-NİZİP HES</x:v>
      </x:c>
      <x:c r="B24" s="132" t="str">
        <x:v>ŞANLIURFA/GAZİANTEP</x:v>
      </x:c>
      <x:c r="C24" s="142"/>
      <x:c r="D24" s="142"/>
      <x:c r="E24" s="132" t="n">
        <x:v>538</x:v>
      </x:c>
      <x:c r="F24" s="132" t="str">
        <x:v>BİRECİK HES</x:v>
      </x:c>
      <x:c r="G24" s="132" t="str">
        <x:v>Gaziantep</x:v>
      </x:c>
      <x:c r="H24" s="142" t="n">
        <x:v>37.05</x:v>
      </x:c>
      <x:c r="I24" s="142" t="n">
        <x:v>37.89</x:v>
      </x:c>
      <x:c r="J24" s="132" t="str">
        <x:v>Kontrollü ad/alias eşleşmesi</x:v>
      </x:c>
      <x:c r="K24" s="132" t="str">
        <x:v>Orta-Yüksek</x:v>
      </x:c>
      <x:c r="L24" s="143"/>
      <x:c r="M24" s="132" t="str">
        <x:v>Evet</x:v>
      </x:c>
    </x:row>
    <x:row r="25">
      <x:c r="A25" s="132" t="str">
        <x:v>BORÇKA HES</x:v>
      </x:c>
      <x:c r="B25" s="132" t="str">
        <x:v>ARTVİN</x:v>
      </x:c>
      <x:c r="C25" s="142"/>
      <x:c r="D25" s="142"/>
      <x:c r="E25" s="132" t="n">
        <x:v>280</x:v>
      </x:c>
      <x:c r="F25" s="132" t="str">
        <x:v>BORÇKA HES</x:v>
      </x:c>
      <x:c r="G25" s="132" t="str">
        <x:v>Artvin</x:v>
      </x:c>
      <x:c r="H25" s="142" t="n">
        <x:v>41.351</x:v>
      </x:c>
      <x:c r="I25" s="142" t="n">
        <x:v>41.683</x:v>
      </x:c>
      <x:c r="J25" s="132" t="str">
        <x:v>Tam ad eşleşmesi</x:v>
      </x:c>
      <x:c r="K25" s="132" t="str">
        <x:v>Yüksek</x:v>
      </x:c>
      <x:c r="L25" s="143"/>
      <x:c r="M25" s="132" t="str">
        <x:v>Evet</x:v>
      </x:c>
    </x:row>
    <x:row r="26">
      <x:c r="A26" s="132" t="str">
        <x:v>BOYABAT HES</x:v>
      </x:c>
      <x:c r="B26" s="132" t="str">
        <x:v>SİNOP</x:v>
      </x:c>
      <x:c r="C26" s="142" t="n">
        <x:v>41.33471</x:v>
      </x:c>
      <x:c r="D26" s="142" t="n">
        <x:v>34.99575</x:v>
      </x:c>
      <x:c r="E26" s="132" t="n">
        <x:v>703</x:v>
      </x:c>
      <x:c r="F26" s="132" t="str">
        <x:v>BOYABAT HES</x:v>
      </x:c>
      <x:c r="G26" s="132" t="str">
        <x:v>Sinop</x:v>
      </x:c>
      <x:c r="H26" s="142" t="n">
        <x:v>41.344</x:v>
      </x:c>
      <x:c r="I26" s="142" t="n">
        <x:v>34.997</x:v>
      </x:c>
      <x:c r="J26" s="132" t="str">
        <x:v>Tam ad eşleşmesi</x:v>
      </x:c>
      <x:c r="K26" s="132" t="str">
        <x:v>Yüksek</x:v>
      </x:c>
      <x:c r="L26" s="143" t="n">
        <x:v>1.038</x:v>
      </x:c>
      <x:c r="M26" s="132" t="str">
        <x:v>Hayır — mevcut HES/baraj koordinatı korundu</x:v>
      </x:c>
    </x:row>
    <x:row r="27">
      <x:c r="A27" s="132" t="str">
        <x:v>BÜYÜKDÜZ HES</x:v>
      </x:c>
      <x:c r="B27" s="132" t="str">
        <x:v>GÜMÜŞHANE</x:v>
      </x:c>
      <x:c r="C27" s="142"/>
      <x:c r="D27" s="142"/>
      <x:c r="E27" s="132" t="n">
        <x:v>843</x:v>
      </x:c>
      <x:c r="F27" s="132" t="str">
        <x:v>BÜYÜKDÜZ HES</x:v>
      </x:c>
      <x:c r="G27" s="132" t="str">
        <x:v>Gümüşhane</x:v>
      </x:c>
      <x:c r="H27" s="142" t="n">
        <x:v>40.634</x:v>
      </x:c>
      <x:c r="I27" s="142" t="n">
        <x:v>39.113</x:v>
      </x:c>
      <x:c r="J27" s="132" t="str">
        <x:v>Tam ad eşleşmesi</x:v>
      </x:c>
      <x:c r="K27" s="132" t="str">
        <x:v>Yüksek</x:v>
      </x:c>
      <x:c r="L27" s="143"/>
      <x:c r="M27" s="132" t="str">
        <x:v>Evet</x:v>
      </x:c>
    </x:row>
    <x:row r="28">
      <x:c r="A28" s="132" t="str">
        <x:v>ÇATALAN HES</x:v>
      </x:c>
      <x:c r="B28" s="132" t="str">
        <x:v>ADANA</x:v>
      </x:c>
      <x:c r="C28" s="142" t="n">
        <x:v>37.19874</x:v>
      </x:c>
      <x:c r="D28" s="142" t="n">
        <x:v>35.28179</x:v>
      </x:c>
      <x:c r="E28" s="132" t="n">
        <x:v>482</x:v>
      </x:c>
      <x:c r="F28" s="132" t="str">
        <x:v>ÇATALAN HES</x:v>
      </x:c>
      <x:c r="G28" s="132" t="str">
        <x:v>Adana</x:v>
      </x:c>
      <x:c r="H28" s="142" t="n">
        <x:v>37.196</x:v>
      </x:c>
      <x:c r="I28" s="142" t="n">
        <x:v>35.278</x:v>
      </x:c>
      <x:c r="J28" s="132" t="str">
        <x:v>Tam ad eşleşmesi</x:v>
      </x:c>
      <x:c r="K28" s="132" t="str">
        <x:v>Yüksek</x:v>
      </x:c>
      <x:c r="L28" s="143" t="n">
        <x:v>0.453</x:v>
      </x:c>
      <x:c r="M28" s="132" t="str">
        <x:v>Hayır — mevcut HES/baraj koordinatı korundu</x:v>
      </x:c>
    </x:row>
    <x:row r="29">
      <x:c r="A29" s="132" t="str">
        <x:v>ÇETİN HES</x:v>
      </x:c>
      <x:c r="B29" s="132" t="str">
        <x:v>SİİRT</x:v>
      </x:c>
      <x:c r="C29" s="142"/>
      <x:c r="D29" s="142"/>
      <x:c r="E29" s="132" t="n">
        <x:v>1693</x:v>
      </x:c>
      <x:c r="F29" s="132" t="str">
        <x:v>ÇETİN HES</x:v>
      </x:c>
      <x:c r="G29" s="132" t="str">
        <x:v>Siirt</x:v>
      </x:c>
      <x:c r="H29" s="142" t="n">
        <x:v>37.973</x:v>
      </x:c>
      <x:c r="I29" s="142" t="n">
        <x:v>42.356</x:v>
      </x:c>
      <x:c r="J29" s="132" t="str">
        <x:v>Tam ad eşleşmesi</x:v>
      </x:c>
      <x:c r="K29" s="132" t="str">
        <x:v>Yüksek</x:v>
      </x:c>
      <x:c r="L29" s="143"/>
      <x:c r="M29" s="132" t="str">
        <x:v>Evet</x:v>
      </x:c>
    </x:row>
    <x:row r="30">
      <x:c r="A30" s="132" t="str">
        <x:v>ÇILDIR HES</x:v>
      </x:c>
      <x:c r="B30" s="132" t="str">
        <x:v>ARDAHAN</x:v>
      </x:c>
      <x:c r="C30" s="142"/>
      <x:c r="D30" s="142"/>
      <x:c r="E30" s="132" t="n">
        <x:v>240</x:v>
      </x:c>
      <x:c r="F30" s="132" t="str">
        <x:v>ÇILDIR HES</x:v>
      </x:c>
      <x:c r="G30" s="132" t="str">
        <x:v>Kars</x:v>
      </x:c>
      <x:c r="H30" s="142" t="n">
        <x:v>40.901</x:v>
      </x:c>
      <x:c r="I30" s="142" t="n">
        <x:v>43.328</x:v>
      </x:c>
      <x:c r="J30" s="132" t="str">
        <x:v>Tam ad eşleşmesi</x:v>
      </x:c>
      <x:c r="K30" s="132" t="str">
        <x:v>Yüksek</x:v>
      </x:c>
      <x:c r="L30" s="143"/>
      <x:c r="M30" s="132" t="str">
        <x:v>Evet</x:v>
      </x:c>
    </x:row>
    <x:row r="31">
      <x:c r="A31" s="132" t="str">
        <x:v>ÇİNE HES</x:v>
      </x:c>
      <x:c r="B31" s="132" t="str">
        <x:v>AYDIN</x:v>
      </x:c>
      <x:c r="C31" s="142" t="n">
        <x:v>37.49475</x:v>
      </x:c>
      <x:c r="D31" s="142" t="n">
        <x:v>28.12994</x:v>
      </x:c>
      <x:c r="E31" s="132" t="n">
        <x:v>1199</x:v>
      </x:c>
      <x:c r="F31" s="132" t="str">
        <x:v>ÇİNE HES</x:v>
      </x:c>
      <x:c r="G31" s="132" t="str">
        <x:v>Aydın</x:v>
      </x:c>
      <x:c r="H31" s="142" t="n">
        <x:v>37.511</x:v>
      </x:c>
      <x:c r="I31" s="142" t="n">
        <x:v>28.107</x:v>
      </x:c>
      <x:c r="J31" s="132" t="str">
        <x:v>Tam ad eşleşmesi</x:v>
      </x:c>
      <x:c r="K31" s="132" t="str">
        <x:v>Yüksek</x:v>
      </x:c>
      <x:c r="L31" s="143" t="n">
        <x:v>2.713</x:v>
      </x:c>
      <x:c r="M31" s="132" t="str">
        <x:v>Hayır — mevcut HES/baraj koordinatı korundu</x:v>
      </x:c>
    </x:row>
    <x:row r="32">
      <x:c r="A32" s="132" t="str">
        <x:v>DARICA1 HES</x:v>
      </x:c>
      <x:c r="B32" s="132" t="str">
        <x:v>ORDU</x:v>
      </x:c>
      <x:c r="C32" s="142"/>
      <x:c r="D32" s="142"/>
      <x:c r="E32" s="132" t="n">
        <x:v>806</x:v>
      </x:c>
      <x:c r="F32" s="132" t="str">
        <x:v>DARICA1 HES</x:v>
      </x:c>
      <x:c r="G32" s="132" t="str">
        <x:v>Ordu</x:v>
      </x:c>
      <x:c r="H32" s="142" t="n">
        <x:v>40.707</x:v>
      </x:c>
      <x:c r="I32" s="142" t="n">
        <x:v>37.847</x:v>
      </x:c>
      <x:c r="J32" s="132" t="str">
        <x:v>Tam ad eşleşmesi</x:v>
      </x:c>
      <x:c r="K32" s="132" t="str">
        <x:v>Yüksek</x:v>
      </x:c>
      <x:c r="L32" s="143"/>
      <x:c r="M32" s="132" t="str">
        <x:v>Evet</x:v>
      </x:c>
    </x:row>
    <x:row r="33">
      <x:c r="A33" s="132" t="str">
        <x:v>DARICA2 HES</x:v>
      </x:c>
      <x:c r="B33" s="132" t="str">
        <x:v>ORDU</x:v>
      </x:c>
      <x:c r="C33" s="142"/>
      <x:c r="D33" s="142"/>
      <x:c r="E33" s="132" t="n">
        <x:v>1474</x:v>
      </x:c>
      <x:c r="F33" s="132" t="str">
        <x:v>DARICA2 HES</x:v>
      </x:c>
      <x:c r="G33" s="132" t="str">
        <x:v>Ordu</x:v>
      </x:c>
      <x:c r="H33" s="142" t="n">
        <x:v>40.719</x:v>
      </x:c>
      <x:c r="I33" s="142" t="n">
        <x:v>37.864</x:v>
      </x:c>
      <x:c r="J33" s="132" t="str">
        <x:v>Tam ad eşleşmesi</x:v>
      </x:c>
      <x:c r="K33" s="132" t="str">
        <x:v>Yüksek</x:v>
      </x:c>
      <x:c r="L33" s="143"/>
      <x:c r="M33" s="132" t="str">
        <x:v>Evet</x:v>
      </x:c>
    </x:row>
    <x:row r="34">
      <x:c r="A34" s="132" t="str">
        <x:v>DEMİRKÖPRÜ HES</x:v>
      </x:c>
      <x:c r="B34" s="132" t="str">
        <x:v>MANİSA</x:v>
      </x:c>
      <x:c r="C34" s="142"/>
      <x:c r="D34" s="142"/>
      <x:c r="E34" s="132" t="n">
        <x:v>155</x:v>
      </x:c>
      <x:c r="F34" s="132" t="str">
        <x:v>DEMİRKÖPRÜ HES</x:v>
      </x:c>
      <x:c r="G34" s="132" t="str">
        <x:v>Manisa</x:v>
      </x:c>
      <x:c r="H34" s="142" t="n">
        <x:v>38.603</x:v>
      </x:c>
      <x:c r="I34" s="142" t="n">
        <x:v>28.291</x:v>
      </x:c>
      <x:c r="J34" s="132" t="str">
        <x:v>Tam ad eşleşmesi</x:v>
      </x:c>
      <x:c r="K34" s="132" t="str">
        <x:v>Yüksek</x:v>
      </x:c>
      <x:c r="L34" s="143"/>
      <x:c r="M34" s="132" t="str">
        <x:v>Evet</x:v>
      </x:c>
    </x:row>
    <x:row r="35">
      <x:c r="A35" s="132" t="str">
        <x:v>DERBENT HES</x:v>
      </x:c>
      <x:c r="B35" s="132" t="str">
        <x:v>SAMSUN</x:v>
      </x:c>
      <x:c r="C35" s="142" t="n">
        <x:v>41.46121</x:v>
      </x:c>
      <x:c r="D35" s="142" t="n">
        <x:v>35.84174</x:v>
      </x:c>
      <x:c r="E35" s="132" t="n">
        <x:v>580</x:v>
      </x:c>
      <x:c r="F35" s="132" t="str">
        <x:v>DERBENT HES</x:v>
      </x:c>
      <x:c r="G35" s="132" t="str">
        <x:v>Samsun</x:v>
      </x:c>
      <x:c r="H35" s="142" t="n">
        <x:v>41.466</x:v>
      </x:c>
      <x:c r="I35" s="142" t="n">
        <x:v>35.844</x:v>
      </x:c>
      <x:c r="J35" s="132" t="str">
        <x:v>Tam ad eşleşmesi</x:v>
      </x:c>
      <x:c r="K35" s="132" t="str">
        <x:v>Yüksek</x:v>
      </x:c>
      <x:c r="L35" s="143" t="n">
        <x:v>0.565</x:v>
      </x:c>
      <x:c r="M35" s="132" t="str">
        <x:v>Hayır — mevcut HES/baraj koordinatı korundu</x:v>
      </x:c>
    </x:row>
    <x:row r="36">
      <x:c r="A36" s="132" t="str">
        <x:v>DERİNER HES</x:v>
      </x:c>
      <x:c r="B36" s="132" t="str">
        <x:v>ARTVİN</x:v>
      </x:c>
      <x:c r="C36" s="142"/>
      <x:c r="D36" s="142"/>
      <x:c r="E36" s="132" t="n">
        <x:v>1059</x:v>
      </x:c>
      <x:c r="F36" s="132" t="str">
        <x:v>DERİNER HES</x:v>
      </x:c>
      <x:c r="G36" s="132" t="str">
        <x:v>Artvin</x:v>
      </x:c>
      <x:c r="H36" s="142" t="n">
        <x:v>41.172</x:v>
      </x:c>
      <x:c r="I36" s="142" t="n">
        <x:v>41.869</x:v>
      </x:c>
      <x:c r="J36" s="132" t="str">
        <x:v>Tam ad eşleşmesi</x:v>
      </x:c>
      <x:c r="K36" s="132" t="str">
        <x:v>Yüksek</x:v>
      </x:c>
      <x:c r="L36" s="143"/>
      <x:c r="M36" s="132" t="str">
        <x:v>Evet</x:v>
      </x:c>
    </x:row>
    <x:row r="37">
      <x:c r="A37" s="132" t="str">
        <x:v>DEVECİ KONAĞI HES</x:v>
      </x:c>
      <x:c r="B37" s="132" t="str">
        <x:v>BURSA</x:v>
      </x:c>
      <x:c r="C37" s="142"/>
      <x:c r="D37" s="142"/>
      <x:c r="E37" s="132" t="n">
        <x:v>1042</x:v>
      </x:c>
      <x:c r="F37" s="132" t="str">
        <x:v>DEVECİKONAĞI HES</x:v>
      </x:c>
      <x:c r="G37" s="132" t="str">
        <x:v>Bursa</x:v>
      </x:c>
      <x:c r="H37" s="142" t="n">
        <x:v>39.877</x:v>
      </x:c>
      <x:c r="I37" s="142" t="n">
        <x:v>28.576</x:v>
      </x:c>
      <x:c r="J37" s="132" t="str">
        <x:v>Kontrollü ad/alias eşleşmesi</x:v>
      </x:c>
      <x:c r="K37" s="132" t="str">
        <x:v>Orta-Yüksek</x:v>
      </x:c>
      <x:c r="L37" s="143"/>
      <x:c r="M37" s="132" t="str">
        <x:v>Evet</x:v>
      </x:c>
    </x:row>
    <x:row r="38">
      <x:c r="A38" s="132" t="str">
        <x:v>DİCLE HES</x:v>
      </x:c>
      <x:c r="B38" s="132" t="str">
        <x:v>DİYARBAKIR</x:v>
      </x:c>
      <x:c r="C38" s="142"/>
      <x:c r="D38" s="142"/>
      <x:c r="E38" s="132" t="n">
        <x:v>105</x:v>
      </x:c>
      <x:c r="F38" s="132" t="str">
        <x:v>DİCLE HES</x:v>
      </x:c>
      <x:c r="G38" s="132" t="str">
        <x:v>Diyarbakır</x:v>
      </x:c>
      <x:c r="H38" s="142" t="n">
        <x:v>38.229</x:v>
      </x:c>
      <x:c r="I38" s="142" t="n">
        <x:v>40.175</x:v>
      </x:c>
      <x:c r="J38" s="132" t="str">
        <x:v>Tam ad eşleşmesi</x:v>
      </x:c>
      <x:c r="K38" s="132" t="str">
        <x:v>Yüksek</x:v>
      </x:c>
      <x:c r="L38" s="143"/>
      <x:c r="M38" s="132" t="str">
        <x:v>Evet</x:v>
      </x:c>
    </x:row>
    <x:row r="39">
      <x:c r="A39" s="132" t="str">
        <x:v>DOĞANKENT HES</x:v>
      </x:c>
      <x:c r="B39" s="132" t="str">
        <x:v>GİRESUN</x:v>
      </x:c>
      <x:c r="C39" s="142"/>
      <x:c r="D39" s="142"/>
      <x:c r="E39" s="132" t="n">
        <x:v>788</x:v>
      </x:c>
      <x:c r="F39" s="132" t="str">
        <x:v>DOĞANKENT HES</x:v>
      </x:c>
      <x:c r="G39" s="132" t="str">
        <x:v>Giresun</x:v>
      </x:c>
      <x:c r="H39" s="142" t="n">
        <x:v>40.804</x:v>
      </x:c>
      <x:c r="I39" s="142" t="n">
        <x:v>38.916</x:v>
      </x:c>
      <x:c r="J39" s="132" t="str">
        <x:v>Tam ad eşleşmesi</x:v>
      </x:c>
      <x:c r="K39" s="132" t="str">
        <x:v>Yüksek</x:v>
      </x:c>
      <x:c r="L39" s="143"/>
      <x:c r="M39" s="132" t="str">
        <x:v>Evet</x:v>
      </x:c>
    </x:row>
    <x:row r="40">
      <x:c r="A40" s="132" t="str">
        <x:v>EREN HES</x:v>
      </x:c>
      <x:c r="B40" s="132" t="str">
        <x:v>KARABÜK</x:v>
      </x:c>
      <x:c r="C40" s="142"/>
      <x:c r="D40" s="142"/>
      <x:c r="E40" s="132" t="n">
        <x:v>1228</x:v>
      </x:c>
      <x:c r="F40" s="132" t="str">
        <x:v>EREN HES</x:v>
      </x:c>
      <x:c r="G40" s="132" t="str">
        <x:v>Karabük</x:v>
      </x:c>
      <x:c r="H40" s="142" t="n">
        <x:v>41.147</x:v>
      </x:c>
      <x:c r="I40" s="142" t="n">
        <x:v>32.907</x:v>
      </x:c>
      <x:c r="J40" s="132" t="str">
        <x:v>Tam ad eşleşmesi</x:v>
      </x:c>
      <x:c r="K40" s="132" t="str">
        <x:v>Yüksek</x:v>
      </x:c>
      <x:c r="L40" s="143"/>
      <x:c r="M40" s="132" t="str">
        <x:v>Evet</x:v>
      </x:c>
    </x:row>
    <x:row r="41">
      <x:c r="A41" s="132" t="str">
        <x:v>FEKE2 HES</x:v>
      </x:c>
      <x:c r="B41" s="132" t="str">
        <x:v>ADANA</x:v>
      </x:c>
      <x:c r="C41" s="142" t="n">
        <x:v>37.7449</x:v>
      </x:c>
      <x:c r="D41" s="142" t="n">
        <x:v>35.8652</x:v>
      </x:c>
      <x:c r="E41" s="132" t="n">
        <x:v>477</x:v>
      </x:c>
      <x:c r="F41" s="132" t="str">
        <x:v>FEKE2 HES</x:v>
      </x:c>
      <x:c r="G41" s="132" t="str">
        <x:v>Adana</x:v>
      </x:c>
      <x:c r="H41" s="142" t="n">
        <x:v>37.744</x:v>
      </x:c>
      <x:c r="I41" s="142" t="n">
        <x:v>35.865</x:v>
      </x:c>
      <x:c r="J41" s="132" t="str">
        <x:v>Tam ad eşleşmesi</x:v>
      </x:c>
      <x:c r="K41" s="132" t="str">
        <x:v>Yüksek</x:v>
      </x:c>
      <x:c r="L41" s="143" t="n">
        <x:v>0.102</x:v>
      </x:c>
      <x:c r="M41" s="132" t="str">
        <x:v>Hayır — mevcut HES/baraj koordinatı korundu</x:v>
      </x:c>
    </x:row>
    <x:row r="42">
      <x:c r="A42" s="132" t="str">
        <x:v>GARZAN HES</x:v>
      </x:c>
      <x:c r="B42" s="132" t="str">
        <x:v>BATMAN</x:v>
      </x:c>
      <x:c r="C42" s="142"/>
      <x:c r="D42" s="142"/>
      <x:c r="E42" s="132" t="n">
        <x:v>740</x:v>
      </x:c>
      <x:c r="F42" s="132" t="str">
        <x:v>GARZAN HES</x:v>
      </x:c>
      <x:c r="G42" s="132" t="str">
        <x:v>Batman</x:v>
      </x:c>
      <x:c r="H42" s="142" t="n">
        <x:v>38.25</x:v>
      </x:c>
      <x:c r="I42" s="142" t="n">
        <x:v>41.552</x:v>
      </x:c>
      <x:c r="J42" s="132" t="str">
        <x:v>Tam ad eşleşmesi</x:v>
      </x:c>
      <x:c r="K42" s="132" t="str">
        <x:v>Yüksek</x:v>
      </x:c>
      <x:c r="L42" s="143"/>
      <x:c r="M42" s="132" t="str">
        <x:v>Evet</x:v>
      </x:c>
    </x:row>
    <x:row r="43">
      <x:c r="A43" s="132" t="str">
        <x:v>GEZENDE HES</x:v>
      </x:c>
      <x:c r="B43" s="132" t="str">
        <x:v>İÇEL</x:v>
      </x:c>
      <x:c r="C43" s="142" t="n">
        <x:v>36.528611</x:v>
      </x:c>
      <x:c r="D43" s="142" t="n">
        <x:v>33.194444</x:v>
      </x:c>
      <x:c r="E43" s="132" t="n">
        <x:v>633</x:v>
      </x:c>
      <x:c r="F43" s="132" t="str">
        <x:v>GEZENDE HES</x:v>
      </x:c>
      <x:c r="G43" s="132" t="str">
        <x:v>Mersin</x:v>
      </x:c>
      <x:c r="H43" s="142" t="n">
        <x:v>36.561</x:v>
      </x:c>
      <x:c r="I43" s="142" t="n">
        <x:v>33.272</x:v>
      </x:c>
      <x:c r="J43" s="132" t="str">
        <x:v>Tam ad eşleşmesi</x:v>
      </x:c>
      <x:c r="K43" s="132" t="str">
        <x:v>Yüksek</x:v>
      </x:c>
      <x:c r="L43" s="143" t="n">
        <x:v>7.808</x:v>
      </x:c>
      <x:c r="M43" s="132" t="str">
        <x:v>Hayır — mevcut HES/baraj koordinatı korundu</x:v>
      </x:c>
    </x:row>
    <x:row r="44">
      <x:c r="A44" s="132" t="str">
        <x:v>GÖKÇEKAYA HES</x:v>
      </x:c>
      <x:c r="B44" s="132" t="str">
        <x:v>ESKİŞEHİR</x:v>
      </x:c>
      <x:c r="C44" s="142" t="n">
        <x:v>40.033056</x:v>
      </x:c>
      <x:c r="D44" s="142" t="n">
        <x:v>31.016111</x:v>
      </x:c>
      <x:c r="E44" s="132" t="n">
        <x:v>887</x:v>
      </x:c>
      <x:c r="F44" s="132" t="str">
        <x:v>GÖKÇEKAYA HES</x:v>
      </x:c>
      <x:c r="G44" s="132" t="str">
        <x:v>Eskişehir</x:v>
      </x:c>
      <x:c r="H44" s="142" t="n">
        <x:v>40.035</x:v>
      </x:c>
      <x:c r="I44" s="142" t="n">
        <x:v>31.021</x:v>
      </x:c>
      <x:c r="J44" s="132" t="str">
        <x:v>Tam ad eşleşmesi</x:v>
      </x:c>
      <x:c r="K44" s="132" t="str">
        <x:v>Yüksek</x:v>
      </x:c>
      <x:c r="L44" s="143" t="n">
        <x:v>0.469</x:v>
      </x:c>
      <x:c r="M44" s="132" t="str">
        <x:v>Hayır — mevcut HES/baraj koordinatı korundu</x:v>
      </x:c>
    </x:row>
    <x:row r="45">
      <x:c r="A45" s="132" t="str">
        <x:v>GÖKTAŞ1 HES</x:v>
      </x:c>
      <x:c r="B45" s="132" t="str">
        <x:v>ADANA</x:v>
      </x:c>
      <x:c r="C45" s="142" t="n">
        <x:v>37.71028</x:v>
      </x:c>
      <x:c r="D45" s="142" t="n">
        <x:v>35.48</x:v>
      </x:c>
      <x:c r="E45" s="132" t="n">
        <x:v>1395</x:v>
      </x:c>
      <x:c r="F45" s="132" t="str">
        <x:v>GÖKTAŞ1 HES</x:v>
      </x:c>
      <x:c r="G45" s="132" t="str">
        <x:v>Adana</x:v>
      </x:c>
      <x:c r="H45" s="142" t="n">
        <x:v>37.725</x:v>
      </x:c>
      <x:c r="I45" s="142" t="n">
        <x:v>35.473</x:v>
      </x:c>
      <x:c r="J45" s="132" t="str">
        <x:v>Tam ad eşleşmesi</x:v>
      </x:c>
      <x:c r="K45" s="132" t="str">
        <x:v>Yüksek</x:v>
      </x:c>
      <x:c r="L45" s="143" t="n">
        <x:v>1.749</x:v>
      </x:c>
      <x:c r="M45" s="132" t="str">
        <x:v>Hayır — mevcut HES/baraj koordinatı korundu</x:v>
      </x:c>
    </x:row>
    <x:row r="46">
      <x:c r="A46" s="132" t="str">
        <x:v>GÜLLÜBAĞ HES</x:v>
      </x:c>
      <x:c r="B46" s="132" t="str">
        <x:v>ERZURUM</x:v>
      </x:c>
      <x:c r="C46" s="142"/>
      <x:c r="D46" s="142"/>
      <x:c r="E46" s="132" t="n">
        <x:v>309</x:v>
      </x:c>
      <x:c r="F46" s="132" t="str">
        <x:v>GÜLLÜBAĞ HES</x:v>
      </x:c>
      <x:c r="G46" s="132" t="str">
        <x:v>Erzurum</x:v>
      </x:c>
      <x:c r="H46" s="142" t="n">
        <x:v>40.544</x:v>
      </x:c>
      <x:c r="I46" s="142" t="n">
        <x:v>41.047</x:v>
      </x:c>
      <x:c r="J46" s="132" t="str">
        <x:v>Tam ad eşleşmesi</x:v>
      </x:c>
      <x:c r="K46" s="132" t="str">
        <x:v>Yüksek</x:v>
      </x:c>
      <x:c r="L46" s="143"/>
      <x:c r="M46" s="132" t="str">
        <x:v>Evet</x:v>
      </x:c>
    </x:row>
    <x:row r="47">
      <x:c r="A47" s="132" t="str">
        <x:v>GÜRSÖĞÜT HES</x:v>
      </x:c>
      <x:c r="B47" s="132" t="str">
        <x:v>ANKARA</x:v>
      </x:c>
      <x:c r="C47" s="142"/>
      <x:c r="D47" s="142"/>
      <x:c r="E47" s="132" t="n">
        <x:v>1771</x:v>
      </x:c>
      <x:c r="F47" s="132" t="str">
        <x:v>GÜRSÖĞÜT HES</x:v>
      </x:c>
      <x:c r="G47" s="132" t="str">
        <x:v>Ankara</x:v>
      </x:c>
      <x:c r="H47" s="142" t="n">
        <x:v>39.855</x:v>
      </x:c>
      <x:c r="I47" s="142" t="n">
        <x:v>31.901</x:v>
      </x:c>
      <x:c r="J47" s="132" t="str">
        <x:v>Tam ad eşleşmesi</x:v>
      </x:c>
      <x:c r="K47" s="132" t="str">
        <x:v>Yüksek</x:v>
      </x:c>
      <x:c r="L47" s="143"/>
      <x:c r="M47" s="132" t="str">
        <x:v>Evet</x:v>
      </x:c>
    </x:row>
    <x:row r="48">
      <x:c r="A48" s="132" t="str">
        <x:v>HACININOĞLU HES</x:v>
      </x:c>
      <x:c r="B48" s="132" t="str">
        <x:v>KAHRAMANMARAŞ</x:v>
      </x:c>
      <x:c r="C48" s="142"/>
      <x:c r="D48" s="142"/>
      <x:c r="E48" s="132" t="n">
        <x:v>689</x:v>
      </x:c>
      <x:c r="F48" s="132" t="str">
        <x:v>HACININOĞLU HES</x:v>
      </x:c>
      <x:c r="G48" s="132" t="str">
        <x:v>Kahramanmaraş</x:v>
      </x:c>
      <x:c r="H48" s="142" t="n">
        <x:v>37.829</x:v>
      </x:c>
      <x:c r="I48" s="142" t="n">
        <x:v>36.971</x:v>
      </x:c>
      <x:c r="J48" s="132" t="str">
        <x:v>Tam ad eşleşmesi</x:v>
      </x:c>
      <x:c r="K48" s="132" t="str">
        <x:v>Yüksek</x:v>
      </x:c>
      <x:c r="L48" s="143"/>
      <x:c r="M48" s="132" t="str">
        <x:v>Evet</x:v>
      </x:c>
    </x:row>
    <x:row r="49">
      <x:c r="A49" s="132" t="str">
        <x:v>HASAN UĞURLU HES</x:v>
      </x:c>
      <x:c r="B49" s="132" t="str">
        <x:v>SAMSUN</x:v>
      </x:c>
      <x:c r="C49" s="142" t="n">
        <x:v>40.93654</x:v>
      </x:c>
      <x:c r="D49" s="142" t="n">
        <x:v>36.64676</x:v>
      </x:c>
      <x:c r="E49" s="132" t="n">
        <x:v>787</x:v>
      </x:c>
      <x:c r="F49" s="132" t="str">
        <x:v>HASAN UĞURLU HES</x:v>
      </x:c>
      <x:c r="G49" s="132" t="str">
        <x:v>Samsun</x:v>
      </x:c>
      <x:c r="H49" s="142" t="n">
        <x:v>40.939</x:v>
      </x:c>
      <x:c r="I49" s="142" t="n">
        <x:v>36.647</x:v>
      </x:c>
      <x:c r="J49" s="132" t="str">
        <x:v>Tam ad eşleşmesi</x:v>
      </x:c>
      <x:c r="K49" s="132" t="str">
        <x:v>Yüksek</x:v>
      </x:c>
      <x:c r="L49" s="143" t="n">
        <x:v>0.274</x:v>
      </x:c>
      <x:c r="M49" s="132" t="str">
        <x:v>Hayır — mevcut HES/baraj koordinatı korundu</x:v>
      </x:c>
    </x:row>
    <x:row r="50">
      <x:c r="A50" s="132" t="str">
        <x:v>HİRFANLI HES</x:v>
      </x:c>
      <x:c r="B50" s="132" t="str">
        <x:v>ANKARA</x:v>
      </x:c>
      <x:c r="C50" s="142" t="n">
        <x:v>39.2728</x:v>
      </x:c>
      <x:c r="D50" s="142" t="n">
        <x:v>33.51871</x:v>
      </x:c>
      <x:c r="E50" s="132" t="n">
        <x:v>915</x:v>
      </x:c>
      <x:c r="F50" s="132" t="str">
        <x:v>HİRFANLI HES</x:v>
      </x:c>
      <x:c r="G50" s="132" t="str">
        <x:v>Kırşehir</x:v>
      </x:c>
      <x:c r="H50" s="142" t="n">
        <x:v>39.273</x:v>
      </x:c>
      <x:c r="I50" s="142" t="n">
        <x:v>33.521</x:v>
      </x:c>
      <x:c r="J50" s="132" t="str">
        <x:v>Tam ad eşleşmesi</x:v>
      </x:c>
      <x:c r="K50" s="132" t="str">
        <x:v>Yüksek</x:v>
      </x:c>
      <x:c r="L50" s="143" t="n">
        <x:v>0.198</x:v>
      </x:c>
      <x:c r="M50" s="132" t="str">
        <x:v>Hayır — mevcut HES/baraj koordinatı korundu</x:v>
      </x:c>
    </x:row>
    <x:row r="51">
      <x:c r="A51" s="132" t="str">
        <x:v>ILISU HES</x:v>
      </x:c>
      <x:c r="B51" s="132" t="str">
        <x:v>MARDİN/ŞIRNAK</x:v>
      </x:c>
      <x:c r="C51" s="142"/>
      <x:c r="D51" s="142"/>
      <x:c r="E51" s="132" t="n">
        <x:v>1533</x:v>
      </x:c>
      <x:c r="F51" s="132" t="str">
        <x:v>ILISU HES</x:v>
      </x:c>
      <x:c r="G51" s="132" t="str">
        <x:v>Mardin</x:v>
      </x:c>
      <x:c r="H51" s="142" t="n">
        <x:v>37.531</x:v>
      </x:c>
      <x:c r="I51" s="142" t="n">
        <x:v>41.826</x:v>
      </x:c>
      <x:c r="J51" s="132" t="str">
        <x:v>Tam ad eşleşmesi</x:v>
      </x:c>
      <x:c r="K51" s="132" t="str">
        <x:v>Yüksek</x:v>
      </x:c>
      <x:c r="L51" s="143"/>
      <x:c r="M51" s="132" t="str">
        <x:v>Evet</x:v>
      </x:c>
    </x:row>
    <x:row r="52">
      <x:c r="A52" s="132" t="str">
        <x:v>KADINCIK1 HES</x:v>
      </x:c>
      <x:c r="B52" s="132" t="str">
        <x:v>MERSİN</x:v>
      </x:c>
      <x:c r="C52" s="142"/>
      <x:c r="D52" s="142"/>
      <x:c r="E52" s="132" t="n">
        <x:v>573</x:v>
      </x:c>
      <x:c r="F52" s="132" t="str">
        <x:v>KADINCIK1 HES</x:v>
      </x:c>
      <x:c r="G52" s="132" t="str">
        <x:v>Mersin</x:v>
      </x:c>
      <x:c r="H52" s="142" t="n">
        <x:v>37.088</x:v>
      </x:c>
      <x:c r="I52" s="142" t="n">
        <x:v>34.789</x:v>
      </x:c>
      <x:c r="J52" s="132" t="str">
        <x:v>Tam ad eşleşmesi</x:v>
      </x:c>
      <x:c r="K52" s="132" t="str">
        <x:v>Yüksek</x:v>
      </x:c>
      <x:c r="L52" s="143"/>
      <x:c r="M52" s="132" t="str">
        <x:v>Evet</x:v>
      </x:c>
    </x:row>
    <x:row r="53">
      <x:c r="A53" s="132" t="str">
        <x:v>KADINCIK2 HES</x:v>
      </x:c>
      <x:c r="B53" s="132" t="str">
        <x:v>MERSİN</x:v>
      </x:c>
      <x:c r="C53" s="142"/>
      <x:c r="D53" s="142"/>
      <x:c r="E53" s="132" t="n">
        <x:v>582</x:v>
      </x:c>
      <x:c r="F53" s="132" t="str">
        <x:v>KADINCIK2 HES</x:v>
      </x:c>
      <x:c r="G53" s="132" t="str">
        <x:v>Mersin</x:v>
      </x:c>
      <x:c r="H53" s="142" t="n">
        <x:v>37.032</x:v>
      </x:c>
      <x:c r="I53" s="142" t="n">
        <x:v>34.841</x:v>
      </x:c>
      <x:c r="J53" s="132" t="str">
        <x:v>Tam ad eşleşmesi</x:v>
      </x:c>
      <x:c r="K53" s="132" t="str">
        <x:v>Yüksek</x:v>
      </x:c>
      <x:c r="L53" s="143"/>
      <x:c r="M53" s="132" t="str">
        <x:v>Evet</x:v>
      </x:c>
    </x:row>
    <x:row r="54">
      <x:c r="A54" s="132" t="str">
        <x:v>KANDİL HES</x:v>
      </x:c>
      <x:c r="B54" s="132" t="str">
        <x:v>KAHRAMANMARAŞ</x:v>
      </x:c>
      <x:c r="C54" s="142"/>
      <x:c r="D54" s="142"/>
      <x:c r="E54" s="132" t="n">
        <x:v>1062</x:v>
      </x:c>
      <x:c r="F54" s="132" t="str">
        <x:v>KANDİL HES</x:v>
      </x:c>
      <x:c r="G54" s="132" t="str">
        <x:v>Kahramanmaraş</x:v>
      </x:c>
      <x:c r="H54" s="142" t="n">
        <x:v>37.975</x:v>
      </x:c>
      <x:c r="I54" s="142" t="n">
        <x:v>37.025</x:v>
      </x:c>
      <x:c r="J54" s="132" t="str">
        <x:v>Tam ad eşleşmesi</x:v>
      </x:c>
      <x:c r="K54" s="132" t="str">
        <x:v>Yüksek</x:v>
      </x:c>
      <x:c r="L54" s="143"/>
      <x:c r="M54" s="132" t="str">
        <x:v>Evet</x:v>
      </x:c>
    </x:row>
    <x:row r="55">
      <x:c r="A55" s="132" t="str">
        <x:v>KAPULUKAYA HES</x:v>
      </x:c>
      <x:c r="B55" s="132" t="str">
        <x:v>KIRIKKALE</x:v>
      </x:c>
      <x:c r="C55" s="142" t="n">
        <x:v>39.73053</x:v>
      </x:c>
      <x:c r="D55" s="142" t="n">
        <x:v>33.48299</x:v>
      </x:c>
      <x:c r="E55" s="132" t="n">
        <x:v>903</x:v>
      </x:c>
      <x:c r="F55" s="132" t="str">
        <x:v>KAPULUKAYA HES</x:v>
      </x:c>
      <x:c r="G55" s="132" t="str">
        <x:v>Kırıkkale</x:v>
      </x:c>
      <x:c r="H55" s="142" t="n">
        <x:v>39.732</x:v>
      </x:c>
      <x:c r="I55" s="142" t="n">
        <x:v>33.482</x:v>
      </x:c>
      <x:c r="J55" s="132" t="str">
        <x:v>Tam ad eşleşmesi</x:v>
      </x:c>
      <x:c r="K55" s="132" t="str">
        <x:v>Yüksek</x:v>
      </x:c>
      <x:c r="L55" s="143" t="n">
        <x:v>0.184</x:v>
      </x:c>
      <x:c r="M55" s="132" t="str">
        <x:v>Hayır — mevcut HES/baraj koordinatı korundu</x:v>
      </x:c>
    </x:row>
    <x:row r="56">
      <x:c r="A56" s="132" t="str">
        <x:v>KARACAÖREN1 HES</x:v>
      </x:c>
      <x:c r="B56" s="132" t="str">
        <x:v>BURDUR</x:v>
      </x:c>
      <x:c r="C56" s="142"/>
      <x:c r="D56" s="142"/>
      <x:c r="E56" s="132" t="n">
        <x:v>327</x:v>
      </x:c>
      <x:c r="F56" s="132" t="str">
        <x:v>KARACAÖREN 1 HES</x:v>
      </x:c>
      <x:c r="G56" s="132" t="str">
        <x:v>Burdur</x:v>
      </x:c>
      <x:c r="H56" s="142" t="n">
        <x:v>37.367</x:v>
      </x:c>
      <x:c r="I56" s="142" t="n">
        <x:v>30.83</x:v>
      </x:c>
      <x:c r="J56" s="132" t="str">
        <x:v>Kontrollü ad/alias eşleşmesi</x:v>
      </x:c>
      <x:c r="K56" s="132" t="str">
        <x:v>Orta-Yüksek</x:v>
      </x:c>
      <x:c r="L56" s="143"/>
      <x:c r="M56" s="132" t="str">
        <x:v>Evet</x:v>
      </x:c>
    </x:row>
    <x:row r="57">
      <x:c r="A57" s="132" t="str">
        <x:v>KARACAÖREN2 HES</x:v>
      </x:c>
      <x:c r="B57" s="132" t="str">
        <x:v>BURDUR</x:v>
      </x:c>
      <x:c r="C57" s="142"/>
      <x:c r="D57" s="142"/>
      <x:c r="E57" s="132" t="n">
        <x:v>334</x:v>
      </x:c>
      <x:c r="F57" s="132" t="str">
        <x:v>KARACAÖREN 2 HES</x:v>
      </x:c>
      <x:c r="G57" s="132" t="str">
        <x:v>Burdur</x:v>
      </x:c>
      <x:c r="H57" s="142" t="n">
        <x:v>37.264</x:v>
      </x:c>
      <x:c r="I57" s="142" t="n">
        <x:v>30.796</x:v>
      </x:c>
      <x:c r="J57" s="132" t="str">
        <x:v>Kontrollü ad/alias eşleşmesi</x:v>
      </x:c>
      <x:c r="K57" s="132" t="str">
        <x:v>Orta-Yüksek</x:v>
      </x:c>
      <x:c r="L57" s="143"/>
      <x:c r="M57" s="132" t="str">
        <x:v>Evet</x:v>
      </x:c>
    </x:row>
    <x:row r="58">
      <x:c r="A58" s="132" t="str">
        <x:v>KARAKURT HES</x:v>
      </x:c>
      <x:c r="B58" s="132" t="str">
        <x:v>KARS</x:v>
      </x:c>
      <x:c r="C58" s="142"/>
      <x:c r="D58" s="142"/>
      <x:c r="E58" s="132" t="n">
        <x:v>1692</x:v>
      </x:c>
      <x:c r="F58" s="132" t="str">
        <x:v>KARAKURT HES</x:v>
      </x:c>
      <x:c r="G58" s="132" t="str">
        <x:v>Kars</x:v>
      </x:c>
      <x:c r="H58" s="142" t="n">
        <x:v>40.143</x:v>
      </x:c>
      <x:c r="I58" s="142" t="n">
        <x:v>42.699</x:v>
      </x:c>
      <x:c r="J58" s="132" t="str">
        <x:v>Tam ad eşleşmesi</x:v>
      </x:c>
      <x:c r="K58" s="132" t="str">
        <x:v>Yüksek</x:v>
      </x:c>
      <x:c r="L58" s="143"/>
      <x:c r="M58" s="132" t="str">
        <x:v>Evet</x:v>
      </x:c>
    </x:row>
    <x:row r="59">
      <x:c r="A59" s="132" t="str">
        <x:v>KARAKUZ HES</x:v>
      </x:c>
      <x:c r="B59" s="132" t="str">
        <x:v>ADANA</x:v>
      </x:c>
      <x:c r="C59" s="142"/>
      <x:c r="D59" s="142"/>
      <x:c r="E59" s="132" t="n">
        <x:v>1235</x:v>
      </x:c>
      <x:c r="F59" s="132" t="str">
        <x:v>KARAKUZ HES</x:v>
      </x:c>
      <x:c r="G59" s="132" t="str">
        <x:v>Adana</x:v>
      </x:c>
      <x:c r="H59" s="142" t="n">
        <x:v>37.363</x:v>
      </x:c>
      <x:c r="I59" s="142" t="n">
        <x:v>35.124</x:v>
      </x:c>
      <x:c r="J59" s="132" t="str">
        <x:v>Tam ad eşleşmesi</x:v>
      </x:c>
      <x:c r="K59" s="132" t="str">
        <x:v>Yüksek</x:v>
      </x:c>
      <x:c r="L59" s="143"/>
      <x:c r="M59" s="132" t="str">
        <x:v>Evet</x:v>
      </x:c>
    </x:row>
    <x:row r="60">
      <x:c r="A60" s="132" t="str">
        <x:v>KARGI HES</x:v>
      </x:c>
      <x:c r="B60" s="132" t="str">
        <x:v>ANKARA</x:v>
      </x:c>
      <x:c r="C60" s="142"/>
      <x:c r="D60" s="142"/>
      <x:c r="E60" s="132" t="n">
        <x:v>1436</x:v>
      </x:c>
      <x:c r="F60" s="132" t="str">
        <x:v>KARGI HES</x:v>
      </x:c>
      <x:c r="G60" s="132" t="str">
        <x:v>Ankara</x:v>
      </x:c>
      <x:c r="H60" s="142" t="n">
        <x:v>39.967</x:v>
      </x:c>
      <x:c r="I60" s="142" t="n">
        <x:v>31.739</x:v>
      </x:c>
      <x:c r="J60" s="132" t="str">
        <x:v>Tam ad eşleşmesi</x:v>
      </x:c>
      <x:c r="K60" s="132" t="str">
        <x:v>Yüksek</x:v>
      </x:c>
      <x:c r="L60" s="143"/>
      <x:c r="M60" s="132" t="str">
        <x:v>Evet</x:v>
      </x:c>
    </x:row>
    <x:row r="61">
      <x:c r="A61" s="132" t="str">
        <x:v>KARGI KIZILIRMAK HES</x:v>
      </x:c>
      <x:c r="B61" s="132" t="str">
        <x:v>ÇORUM</x:v>
      </x:c>
      <x:c r="C61" s="142"/>
      <x:c r="D61" s="142"/>
      <x:c r="E61" s="132" t="n">
        <x:v>1261</x:v>
      </x:c>
      <x:c r="F61" s="132" t="str">
        <x:v>KARGI KIZILIRMAK HES</x:v>
      </x:c>
      <x:c r="G61" s="132" t="str">
        <x:v>Çorum</x:v>
      </x:c>
      <x:c r="H61" s="142" t="n">
        <x:v>41.106</x:v>
      </x:c>
      <x:c r="I61" s="142" t="n">
        <x:v>34.651</x:v>
      </x:c>
      <x:c r="J61" s="132" t="str">
        <x:v>Tam ad eşleşmesi</x:v>
      </x:c>
      <x:c r="K61" s="132" t="str">
        <x:v>Yüksek</x:v>
      </x:c>
      <x:c r="L61" s="143"/>
      <x:c r="M61" s="132" t="str">
        <x:v>Evet</x:v>
      </x:c>
    </x:row>
    <x:row r="62">
      <x:c r="A62" s="132" t="str">
        <x:v>KARGILIK HES</x:v>
      </x:c>
      <x:c r="B62" s="132" t="str">
        <x:v>KAHRAMANMARAŞ</x:v>
      </x:c>
      <x:c r="C62" s="142"/>
      <x:c r="D62" s="142"/>
      <x:c r="E62" s="132" t="n">
        <x:v>313</x:v>
      </x:c>
      <x:c r="F62" s="132" t="str">
        <x:v>KARGILIK HES</x:v>
      </x:c>
      <x:c r="G62" s="132" t="str">
        <x:v>Kahramanmaraş</x:v>
      </x:c>
      <x:c r="H62" s="142" t="n">
        <x:v>37.519</x:v>
      </x:c>
      <x:c r="I62" s="142" t="n">
        <x:v>36.239</x:v>
      </x:c>
      <x:c r="J62" s="132" t="str">
        <x:v>Tam ad eşleşmesi</x:v>
      </x:c>
      <x:c r="K62" s="132" t="str">
        <x:v>Yüksek</x:v>
      </x:c>
      <x:c r="L62" s="143"/>
      <x:c r="M62" s="132" t="str">
        <x:v>Evet</x:v>
      </x:c>
    </x:row>
    <x:row r="63">
      <x:c r="A63" s="132" t="str">
        <x:v>KARKAMIŞ HES</x:v>
      </x:c>
      <x:c r="B63" s="132" t="str">
        <x:v>GAZİANTEP</x:v>
      </x:c>
      <x:c r="C63" s="142"/>
      <x:c r="D63" s="142"/>
      <x:c r="E63" s="132" t="n">
        <x:v>665</x:v>
      </x:c>
      <x:c r="F63" s="132" t="str">
        <x:v>KARKAMIŞ HES</x:v>
      </x:c>
      <x:c r="G63" s="132" t="str">
        <x:v>Gaziantep</x:v>
      </x:c>
      <x:c r="H63" s="142" t="n">
        <x:v>36.871</x:v>
      </x:c>
      <x:c r="I63" s="142" t="n">
        <x:v>38.027</x:v>
      </x:c>
      <x:c r="J63" s="132" t="str">
        <x:v>Tam ad eşleşmesi</x:v>
      </x:c>
      <x:c r="K63" s="132" t="str">
        <x:v>Yüksek</x:v>
      </x:c>
      <x:c r="L63" s="143"/>
      <x:c r="M63" s="132" t="str">
        <x:v>Evet</x:v>
      </x:c>
    </x:row>
    <x:row r="64">
      <x:c r="A64" s="132" t="str">
        <x:v>KASIMLAR HES</x:v>
      </x:c>
      <x:c r="B64" s="132" t="str">
        <x:v>ISPARTA</x:v>
      </x:c>
      <x:c r="C64" s="142"/>
      <x:c r="D64" s="142"/>
      <x:c r="E64" s="132" t="n">
        <x:v>1347</x:v>
      </x:c>
      <x:c r="F64" s="132" t="str">
        <x:v>KASIMLAR HES</x:v>
      </x:c>
      <x:c r="G64" s="132" t="str">
        <x:v>Antalya</x:v>
      </x:c>
      <x:c r="H64" s="142" t="n">
        <x:v>37.387</x:v>
      </x:c>
      <x:c r="I64" s="142" t="n">
        <x:v>31.218</x:v>
      </x:c>
      <x:c r="J64" s="132" t="str">
        <x:v>Tam ad eşleşmesi</x:v>
      </x:c>
      <x:c r="K64" s="132" t="str">
        <x:v>Yüksek</x:v>
      </x:c>
      <x:c r="L64" s="143"/>
      <x:c r="M64" s="132" t="str">
        <x:v>Evet</x:v>
      </x:c>
    </x:row>
    <x:row r="65">
      <x:c r="A65" s="132" t="str">
        <x:v>KAVŞAKBENDİ HES</x:v>
      </x:c>
      <x:c r="B65" s="132" t="str">
        <x:v>ADANA</x:v>
      </x:c>
      <x:c r="C65" s="142" t="n">
        <x:v>37.562578</x:v>
      </x:c>
      <x:c r="D65" s="142" t="n">
        <x:v>35.5294</x:v>
      </x:c>
      <x:c r="E65" s="132" t="n">
        <x:v>1098</x:v>
      </x:c>
      <x:c r="F65" s="132" t="str">
        <x:v>KAVŞAKBENDİ HES</x:v>
      </x:c>
      <x:c r="G65" s="132" t="str">
        <x:v>Adana</x:v>
      </x:c>
      <x:c r="H65" s="142" t="n">
        <x:v>37.541</x:v>
      </x:c>
      <x:c r="I65" s="142" t="n">
        <x:v>35.525</x:v>
      </x:c>
      <x:c r="J65" s="132" t="str">
        <x:v>Tam ad eşleşmesi</x:v>
      </x:c>
      <x:c r="K65" s="132" t="str">
        <x:v>Yüksek</x:v>
      </x:c>
      <x:c r="L65" s="143" t="n">
        <x:v>2.431</x:v>
      </x:c>
      <x:c r="M65" s="132" t="str">
        <x:v>Hayır — mevcut HES/baraj koordinatı korundu</x:v>
      </x:c>
    </x:row>
    <x:row r="66">
      <x:c r="A66" s="132" t="str">
        <x:v>KAYAKÖPRÜ HES</x:v>
      </x:c>
      <x:c r="B66" s="132" t="str">
        <x:v>GİRESUN</x:v>
      </x:c>
      <x:c r="C66" s="142"/>
      <x:c r="D66" s="142"/>
      <x:c r="E66" s="132" t="n">
        <x:v>884</x:v>
      </x:c>
      <x:c r="F66" s="132" t="str">
        <x:v>KAYAKÖPRÜ HES</x:v>
      </x:c>
      <x:c r="G66" s="132" t="str">
        <x:v>Giresun</x:v>
      </x:c>
      <x:c r="H66" s="142" t="n">
        <x:v>40.69</x:v>
      </x:c>
      <x:c r="I66" s="142" t="n">
        <x:v>38.625</x:v>
      </x:c>
      <x:c r="J66" s="132" t="str">
        <x:v>Tam ad eşleşmesi</x:v>
      </x:c>
      <x:c r="K66" s="132" t="str">
        <x:v>Yüksek</x:v>
      </x:c>
      <x:c r="L66" s="143"/>
      <x:c r="M66" s="132" t="str">
        <x:v>Evet</x:v>
      </x:c>
    </x:row>
    <x:row r="67">
      <x:c r="A67" s="132" t="str">
        <x:v>KEBAN HES</x:v>
      </x:c>
      <x:c r="B67" s="132" t="str">
        <x:v>ELAZIĞ</x:v>
      </x:c>
      <x:c r="C67" s="142"/>
      <x:c r="D67" s="142"/>
      <x:c r="E67" s="132" t="n">
        <x:v>857</x:v>
      </x:c>
      <x:c r="F67" s="132" t="str">
        <x:v>KEBAN HES</x:v>
      </x:c>
      <x:c r="G67" s="132" t="str">
        <x:v>Elazığ</x:v>
      </x:c>
      <x:c r="H67" s="142" t="n">
        <x:v>38.807</x:v>
      </x:c>
      <x:c r="I67" s="142" t="n">
        <x:v>38.754</x:v>
      </x:c>
      <x:c r="J67" s="132" t="str">
        <x:v>Tam ad eşleşmesi</x:v>
      </x:c>
      <x:c r="K67" s="132" t="str">
        <x:v>Yüksek</x:v>
      </x:c>
      <x:c r="L67" s="143"/>
      <x:c r="M67" s="132" t="str">
        <x:v>Evet</x:v>
      </x:c>
    </x:row>
    <x:row r="68">
      <x:c r="A68" s="132" t="str">
        <x:v>KEMER HES</x:v>
      </x:c>
      <x:c r="B68" s="132" t="str">
        <x:v>AYDIN</x:v>
      </x:c>
      <x:c r="C68" s="142" t="n">
        <x:v>37.57204</x:v>
      </x:c>
      <x:c r="D68" s="142" t="n">
        <x:v>28.5249</x:v>
      </x:c>
      <x:c r="E68" s="132" t="n">
        <x:v>435</x:v>
      </x:c>
      <x:c r="F68" s="132" t="str">
        <x:v>KEMER HES</x:v>
      </x:c>
      <x:c r="G68" s="132" t="str">
        <x:v>Aydın</x:v>
      </x:c>
      <x:c r="H68" s="142" t="n">
        <x:v>37.573</x:v>
      </x:c>
      <x:c r="I68" s="142" t="n">
        <x:v>28.523</x:v>
      </x:c>
      <x:c r="J68" s="132" t="str">
        <x:v>Tam ad eşleşmesi</x:v>
      </x:c>
      <x:c r="K68" s="132" t="str">
        <x:v>Yüksek</x:v>
      </x:c>
      <x:c r="L68" s="143" t="n">
        <x:v>0.199</x:v>
      </x:c>
      <x:c r="M68" s="132" t="str">
        <x:v>Hayır — mevcut HES/baraj koordinatı korundu</x:v>
      </x:c>
    </x:row>
    <x:row r="69">
      <x:c r="A69" s="132" t="str">
        <x:v>KESİKKÖPRÜ</x:v>
      </x:c>
      <x:c r="B69" s="132" t="str">
        <x:v>ANKARA</x:v>
      </x:c>
      <x:c r="C69" s="142" t="n">
        <x:v>39.39565</x:v>
      </x:c>
      <x:c r="D69" s="142" t="n">
        <x:v>33.42084</x:v>
      </x:c>
      <x:c r="E69" s="132" t="n">
        <x:v>916</x:v>
      </x:c>
      <x:c r="F69" s="132" t="str">
        <x:v>KESİKKÖPRÜ HES</x:v>
      </x:c>
      <x:c r="G69" s="132" t="str">
        <x:v>Ankara</x:v>
      </x:c>
      <x:c r="H69" s="142" t="n">
        <x:v>39.397</x:v>
      </x:c>
      <x:c r="I69" s="142" t="n">
        <x:v>33.422</x:v>
      </x:c>
      <x:c r="J69" s="132" t="str">
        <x:v>Tam ad eşleşmesi</x:v>
      </x:c>
      <x:c r="K69" s="132" t="str">
        <x:v>Yüksek</x:v>
      </x:c>
      <x:c r="L69" s="143" t="n">
        <x:v>0.18</x:v>
      </x:c>
      <x:c r="M69" s="132" t="str">
        <x:v>Hayır — mevcut HES/baraj koordinatı korundu</x:v>
      </x:c>
    </x:row>
    <x:row r="70">
      <x:c r="A70" s="132" t="str">
        <x:v>KILIÇKAYA HES</x:v>
      </x:c>
      <x:c r="B70" s="132" t="str">
        <x:v>SİVAS</x:v>
      </x:c>
      <x:c r="C70" s="142"/>
      <x:c r="D70" s="142"/>
      <x:c r="E70" s="132" t="n">
        <x:v>797</x:v>
      </x:c>
      <x:c r="F70" s="132" t="str">
        <x:v>KILIÇKAYA HES</x:v>
      </x:c>
      <x:c r="G70" s="132" t="str">
        <x:v>Sivas</x:v>
      </x:c>
      <x:c r="H70" s="142" t="n">
        <x:v>40.244</x:v>
      </x:c>
      <x:c r="I70" s="142" t="n">
        <x:v>38.187</x:v>
      </x:c>
      <x:c r="J70" s="132" t="str">
        <x:v>Tam ad eşleşmesi</x:v>
      </x:c>
      <x:c r="K70" s="132" t="str">
        <x:v>Yüksek</x:v>
      </x:c>
      <x:c r="L70" s="143"/>
      <x:c r="M70" s="132" t="str">
        <x:v>Evet</x:v>
      </x:c>
    </x:row>
    <x:row r="71">
      <x:c r="A71" s="132" t="str">
        <x:v>KİĞI HES</x:v>
      </x:c>
      <x:c r="B71" s="132" t="str">
        <x:v>BİNGÖL</x:v>
      </x:c>
      <x:c r="C71" s="142"/>
      <x:c r="D71" s="142"/>
      <x:c r="E71" s="132" t="n">
        <x:v>1475</x:v>
      </x:c>
      <x:c r="F71" s="132" t="str">
        <x:v>KİĞI HES</x:v>
      </x:c>
      <x:c r="G71" s="132" t="str">
        <x:v>Bingöl</x:v>
      </x:c>
      <x:c r="H71" s="142" t="n">
        <x:v>39.299</x:v>
      </x:c>
      <x:c r="I71" s="142" t="n">
        <x:v>40.373</x:v>
      </x:c>
      <x:c r="J71" s="132" t="str">
        <x:v>Tam ad eşleşmesi</x:v>
      </x:c>
      <x:c r="K71" s="132" t="str">
        <x:v>Yüksek</x:v>
      </x:c>
      <x:c r="L71" s="143"/>
      <x:c r="M71" s="132" t="str">
        <x:v>Evet</x:v>
      </x:c>
    </x:row>
    <x:row r="72">
      <x:c r="A72" s="132" t="str">
        <x:v>KİRAZLIK HES</x:v>
      </x:c>
      <x:c r="B72" s="132" t="str">
        <x:v>SİİRT</x:v>
      </x:c>
      <x:c r="C72" s="142"/>
      <x:c r="D72" s="142"/>
      <x:c r="E72" s="132" t="n">
        <x:v>1075</x:v>
      </x:c>
      <x:c r="F72" s="132" t="str">
        <x:v>KİRAZLIK HES</x:v>
      </x:c>
      <x:c r="G72" s="132" t="str">
        <x:v>Siirt</x:v>
      </x:c>
      <x:c r="H72" s="142" t="n">
        <x:v>37.922</x:v>
      </x:c>
      <x:c r="I72" s="142" t="n">
        <x:v>42.061</x:v>
      </x:c>
      <x:c r="J72" s="132" t="str">
        <x:v>Tam ad eşleşmesi</x:v>
      </x:c>
      <x:c r="K72" s="132" t="str">
        <x:v>Yüksek</x:v>
      </x:c>
      <x:c r="L72" s="143"/>
      <x:c r="M72" s="132" t="str">
        <x:v>Evet</x:v>
      </x:c>
    </x:row>
    <x:row r="73">
      <x:c r="A73" s="132" t="str">
        <x:v>KOTANLI 1-2 HES</x:v>
      </x:c>
      <x:c r="B73" s="132" t="str">
        <x:v>ARDAHAN</x:v>
      </x:c>
      <x:c r="C73" s="142"/>
      <x:c r="D73" s="142"/>
      <x:c r="E73" s="132" t="n">
        <x:v>1321</x:v>
      </x:c>
      <x:c r="F73" s="132" t="str">
        <x:v>KOTANLI HES</x:v>
      </x:c>
      <x:c r="G73" s="132" t="str">
        <x:v>Ardahan</x:v>
      </x:c>
      <x:c r="H73" s="142" t="n">
        <x:v>41.163</x:v>
      </x:c>
      <x:c r="I73" s="142" t="n">
        <x:v>42.957</x:v>
      </x:c>
      <x:c r="J73" s="132" t="str">
        <x:v>Kontrollü ad/alias eşleşmesi</x:v>
      </x:c>
      <x:c r="K73" s="132" t="str">
        <x:v>Orta-Yüksek</x:v>
      </x:c>
      <x:c r="L73" s="143"/>
      <x:c r="M73" s="132" t="str">
        <x:v>Evet</x:v>
      </x:c>
    </x:row>
    <x:row r="74">
      <x:c r="A74" s="132" t="str">
        <x:v>KOYULHİSAR BEREKET HES</x:v>
      </x:c>
      <x:c r="B74" s="132" t="str">
        <x:v>SİVAS</x:v>
      </x:c>
      <x:c r="C74" s="142"/>
      <x:c r="D74" s="142"/>
      <x:c r="E74" s="132" t="n">
        <x:v>805</x:v>
      </x:c>
      <x:c r="F74" s="132" t="str">
        <x:v>KOYULHİSAR HES</x:v>
      </x:c>
      <x:c r="G74" s="132" t="str">
        <x:v>Sivas</x:v>
      </x:c>
      <x:c r="H74" s="142" t="n">
        <x:v>40.291</x:v>
      </x:c>
      <x:c r="I74" s="142" t="n">
        <x:v>37.781</x:v>
      </x:c>
      <x:c r="J74" s="132" t="str">
        <x:v>Kontrollü ad/alias eşleşmesi</x:v>
      </x:c>
      <x:c r="K74" s="132" t="str">
        <x:v>Orta-Yüksek</x:v>
      </x:c>
      <x:c r="L74" s="143"/>
      <x:c r="M74" s="132" t="str">
        <x:v>Evet</x:v>
      </x:c>
    </x:row>
    <x:row r="75">
      <x:c r="A75" s="132" t="str">
        <x:v>KOZBÜKÜ HES</x:v>
      </x:c>
      <x:c r="B75" s="132" t="str">
        <x:v>ORDU</x:v>
      </x:c>
      <x:c r="C75" s="142"/>
      <x:c r="D75" s="142"/>
      <x:c r="E75" s="132" t="n">
        <x:v>1383</x:v>
      </x:c>
      <x:c r="F75" s="132" t="str">
        <x:v>KOZBÜKÜ HES</x:v>
      </x:c>
      <x:c r="G75" s="132" t="str">
        <x:v>Ordu</x:v>
      </x:c>
      <x:c r="H75" s="142" t="n">
        <x:v>40.843</x:v>
      </x:c>
      <x:c r="I75" s="142" t="n">
        <x:v>37.815</x:v>
      </x:c>
      <x:c r="J75" s="132" t="str">
        <x:v>Tam ad eşleşmesi</x:v>
      </x:c>
      <x:c r="K75" s="132" t="str">
        <x:v>Yüksek</x:v>
      </x:c>
      <x:c r="L75" s="143"/>
      <x:c r="M75" s="132" t="str">
        <x:v>Evet</x:v>
      </x:c>
    </x:row>
    <x:row r="76">
      <x:c r="A76" s="132" t="str">
        <x:v>KÖKLÜCE HES</x:v>
      </x:c>
      <x:c r="B76" s="132" t="str">
        <x:v>TOKAT</x:v>
      </x:c>
      <x:c r="C76" s="142" t="n">
        <x:v>40.42512</x:v>
      </x:c>
      <x:c r="D76" s="142" t="n">
        <x:v>36.88133</x:v>
      </x:c>
      <x:c r="E76" s="132" t="n">
        <x:v>795</x:v>
      </x:c>
      <x:c r="F76" s="132" t="str">
        <x:v>KÖKLÜCE HES</x:v>
      </x:c>
      <x:c r="G76" s="132" t="str">
        <x:v>Tokat</x:v>
      </x:c>
      <x:c r="H76" s="142" t="n">
        <x:v>40.494</x:v>
      </x:c>
      <x:c r="I76" s="142" t="n">
        <x:v>36.927</x:v>
      </x:c>
      <x:c r="J76" s="132" t="str">
        <x:v>Tam ad eşleşmesi</x:v>
      </x:c>
      <x:c r="K76" s="132" t="str">
        <x:v>Yüksek</x:v>
      </x:c>
      <x:c r="L76" s="143" t="n">
        <x:v>8.579</x:v>
      </x:c>
      <x:c r="M76" s="132" t="str">
        <x:v>Hayır — mevcut HES/baraj koordinatı korundu</x:v>
      </x:c>
    </x:row>
    <x:row r="77">
      <x:c r="A77" s="132" t="str">
        <x:v>KÖPRÜBAŞI HES (BOLU)</x:v>
      </x:c>
      <x:c r="B77" s="132" t="str">
        <x:v>BOLU</x:v>
      </x:c>
      <x:c r="C77" s="142"/>
      <x:c r="D77" s="142"/>
      <x:c r="E77" s="132" t="n">
        <x:v>537</x:v>
      </x:c>
      <x:c r="F77" s="132" t="str">
        <x:v>KÖPRÜBAŞI HES</x:v>
      </x:c>
      <x:c r="G77" s="132" t="str">
        <x:v>Bolu</x:v>
      </x:c>
      <x:c r="H77" s="142" t="n">
        <x:v>40.994</x:v>
      </x:c>
      <x:c r="I77" s="142" t="n">
        <x:v>31.905</x:v>
      </x:c>
      <x:c r="J77" s="132" t="str">
        <x:v>Kontrollü ad/alias eşleşmesi</x:v>
      </x:c>
      <x:c r="K77" s="132" t="str">
        <x:v>Orta-Yüksek</x:v>
      </x:c>
      <x:c r="L77" s="143"/>
      <x:c r="M77" s="132" t="str">
        <x:v>Evet</x:v>
      </x:c>
    </x:row>
    <x:row r="78">
      <x:c r="A78" s="132" t="str">
        <x:v>KÖPRÜ HES</x:v>
      </x:c>
      <x:c r="B78" s="132" t="str">
        <x:v>ADANA</x:v>
      </x:c>
      <x:c r="C78" s="142" t="n">
        <x:v>37.6202</x:v>
      </x:c>
      <x:c r="D78" s="142" t="n">
        <x:v>35.613631</x:v>
      </x:c>
      <x:c r="E78" s="132" t="n">
        <x:v>474</x:v>
      </x:c>
      <x:c r="F78" s="132" t="str">
        <x:v>KÖPRÜ HES</x:v>
      </x:c>
      <x:c r="G78" s="132" t="str">
        <x:v>Adana</x:v>
      </x:c>
      <x:c r="H78" s="142" t="n">
        <x:v>37.618</x:v>
      </x:c>
      <x:c r="I78" s="142" t="n">
        <x:v>35.613</x:v>
      </x:c>
      <x:c r="J78" s="132" t="str">
        <x:v>Tam ad eşleşmesi</x:v>
      </x:c>
      <x:c r="K78" s="132" t="str">
        <x:v>Yüksek</x:v>
      </x:c>
      <x:c r="L78" s="143" t="n">
        <x:v>0.251</x:v>
      </x:c>
      <x:c r="M78" s="132" t="str">
        <x:v>Hayır — mevcut HES/baraj koordinatı korundu</x:v>
      </x:c>
    </x:row>
    <x:row r="79">
      <x:c r="A79" s="132" t="str">
        <x:v>KRALKIZI HES</x:v>
      </x:c>
      <x:c r="B79" s="132" t="str">
        <x:v>DİYARBAKIR</x:v>
      </x:c>
      <x:c r="C79" s="142"/>
      <x:c r="D79" s="142"/>
      <x:c r="E79" s="132" t="n">
        <x:v>89</x:v>
      </x:c>
      <x:c r="F79" s="132" t="str">
        <x:v>KRALKIZI HES</x:v>
      </x:c>
      <x:c r="G79" s="132" t="str">
        <x:v>Diyarbakır</x:v>
      </x:c>
      <x:c r="H79" s="142" t="n">
        <x:v>38.346</x:v>
      </x:c>
      <x:c r="I79" s="142" t="n">
        <x:v>40.026</x:v>
      </x:c>
      <x:c r="J79" s="132" t="str">
        <x:v>Tam ad eşleşmesi</x:v>
      </x:c>
      <x:c r="K79" s="132" t="str">
        <x:v>Yüksek</x:v>
      </x:c>
      <x:c r="L79" s="143"/>
      <x:c r="M79" s="132" t="str">
        <x:v>Evet</x:v>
      </x:c>
    </x:row>
    <x:row r="80">
      <x:c r="A80" s="132" t="str">
        <x:v>KUZGUN HES</x:v>
      </x:c>
      <x:c r="B80" s="132" t="str">
        <x:v>ERZURUM</x:v>
      </x:c>
      <x:c r="C80" s="142"/>
      <x:c r="D80" s="142"/>
      <x:c r="E80" s="132" t="n">
        <x:v>22</x:v>
      </x:c>
      <x:c r="F80" s="132" t="str">
        <x:v>KUZGUN HES</x:v>
      </x:c>
      <x:c r="G80" s="132" t="str">
        <x:v>Erzurum</x:v>
      </x:c>
      <x:c r="H80" s="142" t="n">
        <x:v>40.184</x:v>
      </x:c>
      <x:c r="I80" s="142" t="n">
        <x:v>41.064</x:v>
      </x:c>
      <x:c r="J80" s="132" t="str">
        <x:v>Tam ad eşleşmesi</x:v>
      </x:c>
      <x:c r="K80" s="132" t="str">
        <x:v>Yüksek</x:v>
      </x:c>
      <x:c r="L80" s="143"/>
      <x:c r="M80" s="132" t="str">
        <x:v>Evet</x:v>
      </x:c>
    </x:row>
    <x:row r="81">
      <x:c r="A81" s="132" t="str">
        <x:v>KÜRTÜN HES</x:v>
      </x:c>
      <x:c r="B81" s="132" t="str">
        <x:v>GÜMÜŞHANE</x:v>
      </x:c>
      <x:c r="C81" s="142"/>
      <x:c r="D81" s="142"/>
      <x:c r="E81" s="132" t="n">
        <x:v>792</x:v>
      </x:c>
      <x:c r="F81" s="132" t="str">
        <x:v>KÜRTÜN HES</x:v>
      </x:c>
      <x:c r="G81" s="132" t="str">
        <x:v>Gümüşhane</x:v>
      </x:c>
      <x:c r="H81" s="142" t="n">
        <x:v>40.683</x:v>
      </x:c>
      <x:c r="I81" s="142" t="n">
        <x:v>39.125</x:v>
      </x:c>
      <x:c r="J81" s="132" t="str">
        <x:v>Tam ad eşleşmesi</x:v>
      </x:c>
      <x:c r="K81" s="132" t="str">
        <x:v>Yüksek</x:v>
      </x:c>
      <x:c r="L81" s="143"/>
      <x:c r="M81" s="132" t="str">
        <x:v>Evet</x:v>
      </x:c>
    </x:row>
    <x:row r="82">
      <x:c r="A82" s="132" t="str">
        <x:v>MANAVGAT HES</x:v>
      </x:c>
      <x:c r="B82" s="132" t="str">
        <x:v>ANTALYA</x:v>
      </x:c>
      <x:c r="C82" s="142"/>
      <x:c r="D82" s="142"/>
      <x:c r="E82" s="132" t="n">
        <x:v>139</x:v>
      </x:c>
      <x:c r="F82" s="132" t="str">
        <x:v>MANAVGAT HES</x:v>
      </x:c>
      <x:c r="G82" s="132" t="str">
        <x:v>Antalya</x:v>
      </x:c>
      <x:c r="H82" s="142" t="n">
        <x:v>36.835</x:v>
      </x:c>
      <x:c r="I82" s="142" t="n">
        <x:v>31.516</x:v>
      </x:c>
      <x:c r="J82" s="132" t="str">
        <x:v>Tam ad eşleşmesi</x:v>
      </x:c>
      <x:c r="K82" s="132" t="str">
        <x:v>Yüksek</x:v>
      </x:c>
      <x:c r="L82" s="143"/>
      <x:c r="M82" s="132" t="str">
        <x:v>Evet</x:v>
      </x:c>
    </x:row>
    <x:row r="83">
      <x:c r="A83" s="132" t="str">
        <x:v>MENGE HES</x:v>
      </x:c>
      <x:c r="B83" s="132" t="str">
        <x:v>ADANA</x:v>
      </x:c>
      <x:c r="C83" s="142" t="n">
        <x:v>37.7097</x:v>
      </x:c>
      <x:c r="D83" s="142" t="n">
        <x:v>35.7348</x:v>
      </x:c>
      <x:c r="E83" s="132" t="n">
        <x:v>470</x:v>
      </x:c>
      <x:c r="F83" s="132" t="str">
        <x:v>MENGE HES</x:v>
      </x:c>
      <x:c r="G83" s="132" t="str">
        <x:v>Adana</x:v>
      </x:c>
      <x:c r="H83" s="142" t="n">
        <x:v>37.703</x:v>
      </x:c>
      <x:c r="I83" s="142" t="n">
        <x:v>35.723</x:v>
      </x:c>
      <x:c r="J83" s="132" t="str">
        <x:v>Tam ad eşleşmesi</x:v>
      </x:c>
      <x:c r="K83" s="132" t="str">
        <x:v>Yüksek</x:v>
      </x:c>
      <x:c r="L83" s="143" t="n">
        <x:v>1.278</x:v>
      </x:c>
      <x:c r="M83" s="132" t="str">
        <x:v>Hayır — mevcut HES/baraj koordinatı korundu</x:v>
      </x:c>
    </x:row>
    <x:row r="84">
      <x:c r="A84" s="132" t="str">
        <x:v>MENZELET HES</x:v>
      </x:c>
      <x:c r="B84" s="132" t="str">
        <x:v>KAHRAMANMARAŞ</x:v>
      </x:c>
      <x:c r="C84" s="142" t="n">
        <x:v>37.6765</x:v>
      </x:c>
      <x:c r="D84" s="142" t="n">
        <x:v>36.8504</x:v>
      </x:c>
      <x:c r="E84" s="132" t="n">
        <x:v>353</x:v>
      </x:c>
      <x:c r="F84" s="132" t="str">
        <x:v>MENZELET HES</x:v>
      </x:c>
      <x:c r="G84" s="132" t="str">
        <x:v>Kahramanmaraş</x:v>
      </x:c>
      <x:c r="H84" s="142" t="n">
        <x:v>37.673</x:v>
      </x:c>
      <x:c r="I84" s="142" t="n">
        <x:v>36.848</x:v>
      </x:c>
      <x:c r="J84" s="132" t="str">
        <x:v>Tam ad eşleşmesi</x:v>
      </x:c>
      <x:c r="K84" s="132" t="str">
        <x:v>Yüksek</x:v>
      </x:c>
      <x:c r="L84" s="143" t="n">
        <x:v>0.443</x:v>
      </x:c>
      <x:c r="M84" s="132" t="str">
        <x:v>Hayır — mevcut HES/baraj koordinatı korundu</x:v>
      </x:c>
    </x:row>
    <x:row r="85">
      <x:c r="A85" s="132" t="str">
        <x:v>MURATLI HES</x:v>
      </x:c>
      <x:c r="B85" s="132" t="str">
        <x:v>ARTVİN</x:v>
      </x:c>
      <x:c r="C85" s="142"/>
      <x:c r="D85" s="142"/>
      <x:c r="E85" s="132" t="n">
        <x:v>259</x:v>
      </x:c>
      <x:c r="F85" s="132" t="str">
        <x:v>MURATLI HES</x:v>
      </x:c>
      <x:c r="G85" s="132" t="str">
        <x:v>Artvin</x:v>
      </x:c>
      <x:c r="H85" s="142" t="n">
        <x:v>41.468</x:v>
      </x:c>
      <x:c r="I85" s="142" t="n">
        <x:v>41.714</x:v>
      </x:c>
      <x:c r="J85" s="132" t="str">
        <x:v>Tam ad eşleşmesi</x:v>
      </x:c>
      <x:c r="K85" s="132" t="str">
        <x:v>Yüksek</x:v>
      </x:c>
      <x:c r="L85" s="143"/>
      <x:c r="M85" s="132" t="str">
        <x:v>Evet</x:v>
      </x:c>
    </x:row>
    <x:row r="86">
      <x:c r="A86" s="132" t="str">
        <x:v>OBRUK HES</x:v>
      </x:c>
      <x:c r="B86" s="132" t="str">
        <x:v>ÇORUM</x:v>
      </x:c>
      <x:c r="C86" s="142" t="n">
        <x:v>40.770278</x:v>
      </x:c>
      <x:c r="D86" s="142" t="n">
        <x:v>34.788056</x:v>
      </x:c>
      <x:c r="E86" s="132" t="n">
        <x:v>699</x:v>
      </x:c>
      <x:c r="F86" s="132" t="str">
        <x:v>OBRUK HES</x:v>
      </x:c>
      <x:c r="G86" s="132" t="str">
        <x:v>Çorum</x:v>
      </x:c>
      <x:c r="H86" s="142" t="n">
        <x:v>40.77</x:v>
      </x:c>
      <x:c r="I86" s="142" t="n">
        <x:v>34.791</x:v>
      </x:c>
      <x:c r="J86" s="132" t="str">
        <x:v>Tam ad eşleşmesi</x:v>
      </x:c>
      <x:c r="K86" s="132" t="str">
        <x:v>Yüksek</x:v>
      </x:c>
      <x:c r="L86" s="143" t="n">
        <x:v>0.25</x:v>
      </x:c>
      <x:c r="M86" s="132" t="str">
        <x:v>Hayır — mevcut HES/baraj koordinatı korundu</x:v>
      </x:c>
    </x:row>
    <x:row r="87">
      <x:c r="A87" s="132" t="str">
        <x:v>OYMAPINAR HES</x:v>
      </x:c>
      <x:c r="B87" s="132" t="str">
        <x:v>ANTALYA</x:v>
      </x:c>
      <x:c r="C87" s="142"/>
      <x:c r="D87" s="142"/>
      <x:c r="E87" s="132" t="n">
        <x:v>1696</x:v>
      </x:c>
      <x:c r="F87" s="132" t="str">
        <x:v>OYMAPINAR HES</x:v>
      </x:c>
      <x:c r="G87" s="132" t="str">
        <x:v>Antalya</x:v>
      </x:c>
      <x:c r="H87" s="142" t="n">
        <x:v>36.908</x:v>
      </x:c>
      <x:c r="I87" s="142" t="n">
        <x:v>31.53</x:v>
      </x:c>
      <x:c r="J87" s="132" t="str">
        <x:v>Tam ad eşleşmesi</x:v>
      </x:c>
      <x:c r="K87" s="132" t="str">
        <x:v>Yüksek</x:v>
      </x:c>
      <x:c r="L87" s="143"/>
      <x:c r="M87" s="132" t="str">
        <x:v>Evet</x:v>
      </x:c>
    </x:row>
    <x:row r="88">
      <x:c r="A88" s="132" t="str">
        <x:v>ÖZLÜCE HES</x:v>
      </x:c>
      <x:c r="B88" s="132" t="str">
        <x:v>BİNGÖL</x:v>
      </x:c>
      <x:c r="C88" s="142"/>
      <x:c r="D88" s="142"/>
      <x:c r="E88" s="132" t="n">
        <x:v>98</x:v>
      </x:c>
      <x:c r="F88" s="132" t="str">
        <x:v>ÖZLÜCE HES</x:v>
      </x:c>
      <x:c r="G88" s="132" t="str">
        <x:v>Elazığ</x:v>
      </x:c>
      <x:c r="H88" s="142" t="n">
        <x:v>39.128</x:v>
      </x:c>
      <x:c r="I88" s="142" t="n">
        <x:v>40.086</x:v>
      </x:c>
      <x:c r="J88" s="132" t="str">
        <x:v>Tam ad eşleşmesi</x:v>
      </x:c>
      <x:c r="K88" s="132" t="str">
        <x:v>Yüksek</x:v>
      </x:c>
      <x:c r="L88" s="143"/>
      <x:c r="M88" s="132" t="str">
        <x:v>Evet</x:v>
      </x:c>
    </x:row>
    <x:row r="89">
      <x:c r="A89" s="132" t="str">
        <x:v>PEMBELİK HES</x:v>
      </x:c>
      <x:c r="B89" s="132" t="str">
        <x:v>ELAZIĞ</x:v>
      </x:c>
      <x:c r="C89" s="142"/>
      <x:c r="D89" s="142"/>
      <x:c r="E89" s="132" t="n">
        <x:v>1231</x:v>
      </x:c>
      <x:c r="F89" s="132" t="str">
        <x:v>PEMBELİK HES</x:v>
      </x:c>
      <x:c r="G89" s="132" t="str">
        <x:v>Elazığ</x:v>
      </x:c>
      <x:c r="H89" s="142" t="n">
        <x:v>39.083</x:v>
      </x:c>
      <x:c r="I89" s="142" t="n">
        <x:v>39.897</x:v>
      </x:c>
      <x:c r="J89" s="132" t="str">
        <x:v>Tam ad eşleşmesi</x:v>
      </x:c>
      <x:c r="K89" s="132" t="str">
        <x:v>Yüksek</x:v>
      </x:c>
      <x:c r="L89" s="143"/>
      <x:c r="M89" s="132" t="str">
        <x:v>Evet</x:v>
      </x:c>
    </x:row>
    <x:row r="90">
      <x:c r="A90" s="132" t="str">
        <x:v>REŞADİYE HES</x:v>
      </x:c>
      <x:c r="B90" s="132" t="str">
        <x:v>TOKAT</x:v>
      </x:c>
      <x:c r="C90" s="142"/>
      <x:c r="D90" s="142"/>
      <x:c r="E90" s="132" t="n">
        <x:v>807</x:v>
      </x:c>
      <x:c r="F90" s="132" t="str">
        <x:v>REŞADİYE HES</x:v>
      </x:c>
      <x:c r="G90" s="132" t="str">
        <x:v>Tokat</x:v>
      </x:c>
      <x:c r="H90" s="142" t="n">
        <x:v>40.348</x:v>
      </x:c>
      <x:c r="I90" s="142" t="n">
        <x:v>37.481</x:v>
      </x:c>
      <x:c r="J90" s="132" t="str">
        <x:v>Tam ad eşleşmesi</x:v>
      </x:c>
      <x:c r="K90" s="132" t="str">
        <x:v>Yüksek</x:v>
      </x:c>
      <x:c r="L90" s="143"/>
      <x:c r="M90" s="132" t="str">
        <x:v>Evet</x:v>
      </x:c>
    </x:row>
    <x:row r="91">
      <x:c r="A91" s="132" t="str">
        <x:v>SANİBEY HES</x:v>
      </x:c>
      <x:c r="B91" s="132" t="str">
        <x:v>ADANA</x:v>
      </x:c>
      <x:c r="C91" s="142" t="n">
        <x:v>37.401506</x:v>
      </x:c>
      <x:c r="D91" s="142" t="n">
        <x:v>35.445297</x:v>
      </x:c>
      <x:c r="E91" s="132" t="n">
        <x:v>467</x:v>
      </x:c>
      <x:c r="F91" s="132" t="str">
        <x:v>SANİBEY HES</x:v>
      </x:c>
      <x:c r="G91" s="132" t="str">
        <x:v>Adana</x:v>
      </x:c>
      <x:c r="H91" s="142" t="n">
        <x:v>37.4</x:v>
      </x:c>
      <x:c r="I91" s="142" t="n">
        <x:v>35.444</x:v>
      </x:c>
      <x:c r="J91" s="132" t="str">
        <x:v>Tam ad eşleşmesi</x:v>
      </x:c>
      <x:c r="K91" s="132" t="str">
        <x:v>Yüksek</x:v>
      </x:c>
      <x:c r="L91" s="143" t="n">
        <x:v>0.203</x:v>
      </x:c>
      <x:c r="M91" s="132" t="str">
        <x:v>Hayır — mevcut HES/baraj koordinatı korundu</x:v>
      </x:c>
    </x:row>
    <x:row r="92">
      <x:c r="A92" s="132" t="str">
        <x:v>SARIGÜZEL HES</x:v>
      </x:c>
      <x:c r="B92" s="132" t="str">
        <x:v>KAHRAMANMARAŞ</x:v>
      </x:c>
      <x:c r="C92" s="142" t="n">
        <x:v>37.56744</x:v>
      </x:c>
      <x:c r="D92" s="142" t="n">
        <x:v>36.925392</x:v>
      </x:c>
      <x:c r="E92" s="132" t="n">
        <x:v>694</x:v>
      </x:c>
      <x:c r="F92" s="132" t="str">
        <x:v>SARIGÜZEL HES</x:v>
      </x:c>
      <x:c r="G92" s="132" t="str">
        <x:v>Kahramanmaraş</x:v>
      </x:c>
      <x:c r="H92" s="142" t="n">
        <x:v>37.893</x:v>
      </x:c>
      <x:c r="I92" s="142" t="n">
        <x:v>36.964</x:v>
      </x:c>
      <x:c r="J92" s="132" t="str">
        <x:v>Tam ad eşleşmesi</x:v>
      </x:c>
      <x:c r="K92" s="132" t="str">
        <x:v>Yüksek</x:v>
      </x:c>
      <x:c r="L92" s="143" t="n">
        <x:v>36.359</x:v>
      </x:c>
      <x:c r="M92" s="132" t="str">
        <x:v>Hayır — mevcut HES/baraj koordinatı korundu</x:v>
      </x:c>
    </x:row>
    <x:row r="93">
      <x:c r="A93" s="132" t="str">
        <x:v>SARIYAR HES</x:v>
      </x:c>
      <x:c r="B93" s="132" t="str">
        <x:v>ESKİŞEHİR</x:v>
      </x:c>
      <x:c r="C93" s="142"/>
      <x:c r="D93" s="142"/>
      <x:c r="E93" s="132" t="n">
        <x:v>910</x:v>
      </x:c>
      <x:c r="F93" s="132" t="str">
        <x:v>SARIYAR HES</x:v>
      </x:c>
      <x:c r="G93" s="132" t="str">
        <x:v>Ankara</x:v>
      </x:c>
      <x:c r="H93" s="142" t="n">
        <x:v>40.052</x:v>
      </x:c>
      <x:c r="I93" s="142" t="n">
        <x:v>31.413</x:v>
      </x:c>
      <x:c r="J93" s="132" t="str">
        <x:v>Tam ad eşleşmesi</x:v>
      </x:c>
      <x:c r="K93" s="132" t="str">
        <x:v>Yüksek</x:v>
      </x:c>
      <x:c r="L93" s="143"/>
      <x:c r="M93" s="132" t="str">
        <x:v>Evet</x:v>
      </x:c>
    </x:row>
    <x:row r="94">
      <x:c r="A94" s="132" t="str">
        <x:v>SEYRANTEPE HES</x:v>
      </x:c>
      <x:c r="B94" s="132" t="str">
        <x:v>ELAZIĞ</x:v>
      </x:c>
      <x:c r="C94" s="142"/>
      <x:c r="D94" s="142"/>
      <x:c r="E94" s="132" t="n">
        <x:v>539</x:v>
      </x:c>
      <x:c r="F94" s="132" t="str">
        <x:v>SEYRANTEPE HES</x:v>
      </x:c>
      <x:c r="G94" s="132" t="str">
        <x:v>Elazığ</x:v>
      </x:c>
      <x:c r="H94" s="142" t="n">
        <x:v>39.02</x:v>
      </x:c>
      <x:c r="I94" s="142" t="n">
        <x:v>39.893</x:v>
      </x:c>
      <x:c r="J94" s="132" t="str">
        <x:v>Tam ad eşleşmesi</x:v>
      </x:c>
      <x:c r="K94" s="132" t="str">
        <x:v>Yüksek</x:v>
      </x:c>
      <x:c r="L94" s="143"/>
      <x:c r="M94" s="132" t="str">
        <x:v>Evet</x:v>
      </x:c>
    </x:row>
    <x:row r="95">
      <x:c r="A95" s="132" t="str">
        <x:v>SIR HES</x:v>
      </x:c>
      <x:c r="B95" s="132" t="str">
        <x:v>KAHRAMANMARAŞ</x:v>
      </x:c>
      <x:c r="C95" s="142" t="n">
        <x:v>37.501</x:v>
      </x:c>
      <x:c r="D95" s="142" t="n">
        <x:v>36.5968</x:v>
      </x:c>
      <x:c r="E95" s="132" t="n">
        <x:v>233</x:v>
      </x:c>
      <x:c r="F95" s="132" t="str">
        <x:v>SIR HES</x:v>
      </x:c>
      <x:c r="G95" s="132" t="str">
        <x:v>Kahramanmaraş</x:v>
      </x:c>
      <x:c r="H95" s="142" t="n">
        <x:v>37.501</x:v>
      </x:c>
      <x:c r="I95" s="142" t="n">
        <x:v>36.598</x:v>
      </x:c>
      <x:c r="J95" s="132" t="str">
        <x:v>Tam ad eşleşmesi</x:v>
      </x:c>
      <x:c r="K95" s="132" t="str">
        <x:v>Yüksek</x:v>
      </x:c>
      <x:c r="L95" s="143" t="n">
        <x:v>0.106</x:v>
      </x:c>
      <x:c r="M95" s="132" t="str">
        <x:v>Hayır — mevcut HES/baraj koordinatı korundu</x:v>
      </x:c>
    </x:row>
    <x:row r="96">
      <x:c r="A96" s="132" t="str">
        <x:v>SUAT UĞURLU HES</x:v>
      </x:c>
      <x:c r="B96" s="132" t="str">
        <x:v>SAMSUN</x:v>
      </x:c>
      <x:c r="C96" s="142" t="n">
        <x:v>41.07479</x:v>
      </x:c>
      <x:c r="D96" s="142" t="n">
        <x:v>36.67091</x:v>
      </x:c>
      <x:c r="E96" s="132" t="n">
        <x:v>791</x:v>
      </x:c>
      <x:c r="F96" s="132" t="str">
        <x:v>SUAT UĞURLU HES</x:v>
      </x:c>
      <x:c r="G96" s="132" t="str">
        <x:v>Samsun</x:v>
      </x:c>
      <x:c r="H96" s="142" t="n">
        <x:v>41.077</x:v>
      </x:c>
      <x:c r="I96" s="142" t="n">
        <x:v>36.676</x:v>
      </x:c>
      <x:c r="J96" s="132" t="str">
        <x:v>Tam ad eşleşmesi</x:v>
      </x:c>
      <x:c r="K96" s="132" t="str">
        <x:v>Yüksek</x:v>
      </x:c>
      <x:c r="L96" s="143" t="n">
        <x:v>0.492</x:v>
      </x:c>
      <x:c r="M96" s="132" t="str">
        <x:v>Hayır — mevcut HES/baraj koordinatı korundu</x:v>
      </x:c>
    </x:row>
    <x:row r="97">
      <x:c r="A97" s="132" t="str">
        <x:v>TATAR HES</x:v>
      </x:c>
      <x:c r="B97" s="132" t="str">
        <x:v>ELAZIĞ</x:v>
      </x:c>
      <x:c r="C97" s="142"/>
      <x:c r="D97" s="142"/>
      <x:c r="E97" s="132" t="n">
        <x:v>1093</x:v>
      </x:c>
      <x:c r="F97" s="132" t="str">
        <x:v>TATAR HES</x:v>
      </x:c>
      <x:c r="G97" s="132" t="str">
        <x:v>Elazığ</x:v>
      </x:c>
      <x:c r="H97" s="142" t="n">
        <x:v>38.86</x:v>
      </x:c>
      <x:c r="I97" s="142" t="n">
        <x:v>39.816</x:v>
      </x:c>
      <x:c r="J97" s="132" t="str">
        <x:v>Tam ad eşleşmesi</x:v>
      </x:c>
      <x:c r="K97" s="132" t="str">
        <x:v>Yüksek</x:v>
      </x:c>
      <x:c r="L97" s="143"/>
      <x:c r="M97" s="132" t="str">
        <x:v>Evet</x:v>
      </x:c>
    </x:row>
    <x:row r="98">
      <x:c r="A98" s="132" t="str">
        <x:v>TEPEKIŞLA HES</x:v>
      </x:c>
      <x:c r="B98" s="132" t="str">
        <x:v>TOKAT</x:v>
      </x:c>
      <x:c r="C98" s="142" t="n">
        <x:v>40.66143</x:v>
      </x:c>
      <x:c r="D98" s="142" t="n">
        <x:v>36.70252</x:v>
      </x:c>
      <x:c r="E98" s="132" t="n">
        <x:v>1283</x:v>
      </x:c>
      <x:c r="F98" s="132" t="str">
        <x:v>TEPEKIŞLA HES</x:v>
      </x:c>
      <x:c r="G98" s="132" t="str">
        <x:v>Tokat</x:v>
      </x:c>
      <x:c r="H98" s="142" t="n">
        <x:v>40.66</x:v>
      </x:c>
      <x:c r="I98" s="142" t="n">
        <x:v>36.701</x:v>
      </x:c>
      <x:c r="J98" s="132" t="str">
        <x:v>Tam ad eşleşmesi</x:v>
      </x:c>
      <x:c r="K98" s="132" t="str">
        <x:v>Yüksek</x:v>
      </x:c>
      <x:c r="L98" s="143" t="n">
        <x:v>0.204</x:v>
      </x:c>
      <x:c r="M98" s="132" t="str">
        <x:v>Hayır — mevcut HES/baraj koordinatı korundu</x:v>
      </x:c>
    </x:row>
    <x:row r="99">
      <x:c r="A99" s="132" t="str">
        <x:v>TOKAT AKINCI HES</x:v>
      </x:c>
      <x:c r="B99" s="132" t="str">
        <x:v>TOKAT</x:v>
      </x:c>
      <x:c r="C99" s="142"/>
      <x:c r="D99" s="142"/>
      <x:c r="E99" s="132" t="n">
        <x:v>1541</x:v>
      </x:c>
      <x:c r="F99" s="132" t="str">
        <x:v>AKINCI HES TOKAT</x:v>
      </x:c>
      <x:c r="G99" s="132" t="str">
        <x:v>Tokat</x:v>
      </x:c>
      <x:c r="H99" s="142" t="n">
        <x:v>40.44</x:v>
      </x:c>
      <x:c r="I99" s="142" t="n">
        <x:v>37.115</x:v>
      </x:c>
      <x:c r="J99" s="132" t="str">
        <x:v>Kontrollü ad/alias eşleşmesi</x:v>
      </x:c>
      <x:c r="K99" s="132" t="str">
        <x:v>Orta-Yüksek</x:v>
      </x:c>
      <x:c r="L99" s="143"/>
      <x:c r="M99" s="132" t="str">
        <x:v>Evet</x:v>
      </x:c>
    </x:row>
    <x:row r="100">
      <x:c r="A100" s="132" t="str">
        <x:v>TOPÇAM HES</x:v>
      </x:c>
      <x:c r="B100" s="132" t="str">
        <x:v>ORDU</x:v>
      </x:c>
      <x:c r="C100" s="142"/>
      <x:c r="D100" s="142"/>
      <x:c r="E100" s="132" t="n">
        <x:v>1397</x:v>
      </x:c>
      <x:c r="F100" s="132" t="str">
        <x:v>TOPÇAM HES</x:v>
      </x:c>
      <x:c r="G100" s="132" t="str">
        <x:v>Ordu</x:v>
      </x:c>
      <x:c r="H100" s="142" t="n">
        <x:v>40.656</x:v>
      </x:c>
      <x:c r="I100" s="142" t="n">
        <x:v>37.796</x:v>
      </x:c>
      <x:c r="J100" s="132" t="str">
        <x:v>Tam ad eşleşmesi</x:v>
      </x:c>
      <x:c r="K100" s="132" t="str">
        <x:v>Yüksek</x:v>
      </x:c>
      <x:c r="L100" s="143"/>
      <x:c r="M100" s="132" t="str">
        <x:v>Evet</x:v>
      </x:c>
    </x:row>
    <x:row r="101">
      <x:c r="A101" s="132" t="str">
        <x:v>TORUL HES</x:v>
      </x:c>
      <x:c r="B101" s="132" t="str">
        <x:v>GÜMÜŞHANE</x:v>
      </x:c>
      <x:c r="C101" s="142" t="n">
        <x:v>40.63538</x:v>
      </x:c>
      <x:c r="D101" s="142" t="n">
        <x:v>39.23144</x:v>
      </x:c>
      <x:c r="E101" s="132" t="n">
        <x:v>803</x:v>
      </x:c>
      <x:c r="F101" s="132" t="str">
        <x:v>TORUL HES</x:v>
      </x:c>
      <x:c r="G101" s="132" t="str">
        <x:v>Gümüşhane</x:v>
      </x:c>
      <x:c r="H101" s="142" t="n">
        <x:v>40.645</x:v>
      </x:c>
      <x:c r="I101" s="142" t="n">
        <x:v>39.186</x:v>
      </x:c>
      <x:c r="J101" s="132" t="str">
        <x:v>Tam ad eşleşmesi</x:v>
      </x:c>
      <x:c r="K101" s="132" t="str">
        <x:v>Yüksek</x:v>
      </x:c>
      <x:c r="L101" s="143" t="n">
        <x:v>3.98</x:v>
      </x:c>
      <x:c r="M101" s="132" t="str">
        <x:v>Hayır — mevcut HES/baraj koordinatı korundu</x:v>
      </x:c>
    </x:row>
    <x:row r="102">
      <x:c r="A102" s="132" t="str">
        <x:v>TUNA HES</x:v>
      </x:c>
      <x:c r="B102" s="132" t="str">
        <x:v>TOKAT</x:v>
      </x:c>
      <x:c r="C102" s="142"/>
      <x:c r="D102" s="142"/>
      <x:c r="E102" s="132" t="n">
        <x:v>820</x:v>
      </x:c>
      <x:c r="F102" s="132" t="str">
        <x:v>TUNA HES</x:v>
      </x:c>
      <x:c r="G102" s="132" t="str">
        <x:v>Tokat</x:v>
      </x:c>
      <x:c r="H102" s="142" t="n">
        <x:v>40.372</x:v>
      </x:c>
      <x:c r="I102" s="142" t="n">
        <x:v>37.401</x:v>
      </x:c>
      <x:c r="J102" s="132" t="str">
        <x:v>Tam ad eşleşmesi</x:v>
      </x:c>
      <x:c r="K102" s="132" t="str">
        <x:v>Yüksek</x:v>
      </x:c>
      <x:c r="L102" s="143"/>
      <x:c r="M102" s="132" t="str">
        <x:v>Evet</x:v>
      </x:c>
    </x:row>
    <x:row r="103">
      <x:c r="A103" s="132" t="str">
        <x:v>ULUABAT HES</x:v>
      </x:c>
      <x:c r="B103" s="132" t="str">
        <x:v>BURSA</x:v>
      </x:c>
      <x:c r="C103" s="142"/>
      <x:c r="D103" s="142"/>
      <x:c r="E103" s="132" t="n">
        <x:v>304</x:v>
      </x:c>
      <x:c r="F103" s="132" t="str">
        <x:v>ULUABAT HES</x:v>
      </x:c>
      <x:c r="G103" s="132" t="str">
        <x:v>Bursa</x:v>
      </x:c>
      <x:c r="H103" s="142" t="n">
        <x:v>40.153</x:v>
      </x:c>
      <x:c r="I103" s="142" t="n">
        <x:v>28.725</x:v>
      </x:c>
      <x:c r="J103" s="132" t="str">
        <x:v>Tam ad eşleşmesi</x:v>
      </x:c>
      <x:c r="K103" s="132" t="str">
        <x:v>Yüksek</x:v>
      </x:c>
      <x:c r="L103" s="143"/>
      <x:c r="M103" s="132" t="str">
        <x:v>Evet</x:v>
      </x:c>
    </x:row>
    <x:row r="104">
      <x:c r="A104" s="132" t="str">
        <x:v>UMUT HES</x:v>
      </x:c>
      <x:c r="B104" s="132" t="str">
        <x:v>ORDU</x:v>
      </x:c>
      <x:c r="C104" s="142"/>
      <x:c r="D104" s="142"/>
      <x:c r="E104" s="132" t="n">
        <x:v>817</x:v>
      </x:c>
      <x:c r="F104" s="132" t="str">
        <x:v>UMUT HES</x:v>
      </x:c>
      <x:c r="G104" s="132" t="str">
        <x:v>Ordu</x:v>
      </x:c>
      <x:c r="H104" s="142" t="n">
        <x:v>40.734</x:v>
      </x:c>
      <x:c r="I104" s="142" t="n">
        <x:v>36.929</x:v>
      </x:c>
      <x:c r="J104" s="132" t="str">
        <x:v>Tam ad eşleşmesi</x:v>
      </x:c>
      <x:c r="K104" s="132" t="str">
        <x:v>Yüksek</x:v>
      </x:c>
      <x:c r="L104" s="143"/>
      <x:c r="M104" s="132" t="str">
        <x:v>Evet</x:v>
      </x:c>
    </x:row>
    <x:row r="105">
      <x:c r="A105" s="132" t="str">
        <x:v>UZUNÇAYIR HES</x:v>
      </x:c>
      <x:c r="B105" s="132" t="str">
        <x:v>TUNCELİ</x:v>
      </x:c>
      <x:c r="C105" s="142"/>
      <x:c r="D105" s="142"/>
      <x:c r="E105" s="132" t="n">
        <x:v>590</x:v>
      </x:c>
      <x:c r="F105" s="132" t="str">
        <x:v>UZUNÇAYIR HES</x:v>
      </x:c>
      <x:c r="G105" s="132" t="str">
        <x:v>Tunceli</x:v>
      </x:c>
      <x:c r="H105" s="142" t="n">
        <x:v>38.982</x:v>
      </x:c>
      <x:c r="I105" s="142" t="n">
        <x:v>39.532</x:v>
      </x:c>
      <x:c r="J105" s="132" t="str">
        <x:v>Tam ad eşleşmesi</x:v>
      </x:c>
      <x:c r="K105" s="132" t="str">
        <x:v>Yüksek</x:v>
      </x:c>
      <x:c r="L105" s="143"/>
      <x:c r="M105" s="132" t="str">
        <x:v>Evet</x:v>
      </x:c>
    </x:row>
    <x:row r="106">
      <x:c r="A106" s="132" t="str">
        <x:v>UZUNDERE1 HES</x:v>
      </x:c>
      <x:c r="B106" s="132" t="str">
        <x:v>RİZE</x:v>
      </x:c>
      <x:c r="C106" s="142"/>
      <x:c r="D106" s="142"/>
      <x:c r="E106" s="132" t="n">
        <x:v>770</x:v>
      </x:c>
      <x:c r="F106" s="132" t="str">
        <x:v>UZUNDERE1 HES</x:v>
      </x:c>
      <x:c r="G106" s="132" t="str">
        <x:v>Rize</x:v>
      </x:c>
      <x:c r="H106" s="142" t="n">
        <x:v>40.902</x:v>
      </x:c>
      <x:c r="I106" s="142" t="n">
        <x:v>40.766</x:v>
      </x:c>
      <x:c r="J106" s="132" t="str">
        <x:v>Tam ad eşleşmesi</x:v>
      </x:c>
      <x:c r="K106" s="132" t="str">
        <x:v>Yüksek</x:v>
      </x:c>
      <x:c r="L106" s="143"/>
      <x:c r="M106" s="132" t="str">
        <x:v>Evet</x:v>
      </x:c>
    </x:row>
    <x:row r="107">
      <x:c r="A107" s="132" t="str">
        <x:v>YAMULA HES</x:v>
      </x:c>
      <x:c r="B107" s="132" t="str">
        <x:v>KAYSERİ</x:v>
      </x:c>
      <x:c r="C107" s="142"/>
      <x:c r="D107" s="142"/>
      <x:c r="E107" s="132" t="n">
        <x:v>964</x:v>
      </x:c>
      <x:c r="F107" s="132" t="str">
        <x:v>YAMULA HES</x:v>
      </x:c>
      <x:c r="G107" s="132" t="str">
        <x:v>Kayseri</x:v>
      </x:c>
      <x:c r="H107" s="142" t="n">
        <x:v>38.904</x:v>
      </x:c>
      <x:c r="I107" s="142" t="n">
        <x:v>35.268</x:v>
      </x:c>
      <x:c r="J107" s="132" t="str">
        <x:v>Tam ad eşleşmesi</x:v>
      </x:c>
      <x:c r="K107" s="132" t="str">
        <x:v>Yüksek</x:v>
      </x:c>
      <x:c r="L107" s="143"/>
      <x:c r="M107" s="132" t="str">
        <x:v>Evet</x:v>
      </x:c>
    </x:row>
    <x:row r="108">
      <x:c r="A108" s="132" t="str">
        <x:v>YAPRAK1-2 HES</x:v>
      </x:c>
      <x:c r="B108" s="132" t="str">
        <x:v>AMASYA</x:v>
      </x:c>
      <x:c r="C108" s="142"/>
      <x:c r="D108" s="142"/>
      <x:c r="E108" s="132" t="n">
        <x:v>815</x:v>
      </x:c>
      <x:c r="F108" s="132" t="str">
        <x:v>YAPRAK HES</x:v>
      </x:c>
      <x:c r="G108" s="132" t="str">
        <x:v>Amasya</x:v>
      </x:c>
      <x:c r="H108" s="142" t="n">
        <x:v>40.877</x:v>
      </x:c>
      <x:c r="I108" s="142" t="n">
        <x:v>36.379</x:v>
      </x:c>
      <x:c r="J108" s="132" t="str">
        <x:v>Kontrollü ad/alias eşleşmesi</x:v>
      </x:c>
      <x:c r="K108" s="132" t="str">
        <x:v>Orta-Yüksek</x:v>
      </x:c>
      <x:c r="L108" s="143"/>
      <x:c r="M108" s="132" t="str">
        <x:v>Evet</x:v>
      </x:c>
    </x:row>
    <x:row r="109">
      <x:c r="A109" s="132" t="str">
        <x:v>YENİCE HES</x:v>
      </x:c>
      <x:c r="B109" s="132" t="str">
        <x:v>ESKİŞEHİR</x:v>
      </x:c>
      <x:c r="C109" s="142"/>
      <x:c r="D109" s="142"/>
      <x:c r="E109" s="132" t="n">
        <x:v>983</x:v>
      </x:c>
      <x:c r="F109" s="132" t="str">
        <x:v>YENİCE HES</x:v>
      </x:c>
      <x:c r="G109" s="132" t="str">
        <x:v>Ankara</x:v>
      </x:c>
      <x:c r="H109" s="142" t="n">
        <x:v>40.066</x:v>
      </x:c>
      <x:c r="I109" s="142" t="n">
        <x:v>30.857</x:v>
      </x:c>
      <x:c r="J109" s="132" t="str">
        <x:v>Tam ad eşleşmesi</x:v>
      </x:c>
      <x:c r="K109" s="132" t="str">
        <x:v>Yüksek</x:v>
      </x:c>
      <x:c r="L109" s="143"/>
      <x:c r="M109" s="132" t="str">
        <x:v>Evet</x:v>
      </x:c>
    </x:row>
    <x:row r="110">
      <x:c r="A110" s="132" t="str">
        <x:v>YUKARI KALEKÖY HES</x:v>
      </x:c>
      <x:c r="B110" s="132" t="str">
        <x:v>BİNGÖL</x:v>
      </x:c>
      <x:c r="C110" s="142"/>
      <x:c r="D110" s="142"/>
      <x:c r="E110" s="132" t="n">
        <x:v>1465</x:v>
      </x:c>
      <x:c r="F110" s="132" t="str">
        <x:v>YUKARI KALEKÖY HES</x:v>
      </x:c>
      <x:c r="G110" s="132" t="str">
        <x:v>Bingöl</x:v>
      </x:c>
      <x:c r="H110" s="142" t="n">
        <x:v>38.823</x:v>
      </x:c>
      <x:c r="I110" s="142" t="n">
        <x:v>41.029</x:v>
      </x:c>
      <x:c r="J110" s="132" t="str">
        <x:v>Tam ad eşleşmesi</x:v>
      </x:c>
      <x:c r="K110" s="132" t="str">
        <x:v>Yüksek</x:v>
      </x:c>
      <x:c r="L110" s="143"/>
      <x:c r="M110" s="132" t="str">
        <x:v>Evet</x:v>
      </x:c>
    </x:row>
    <x:row r="111">
      <x:c r="A111" s="132" t="str">
        <x:v>YUSUFELİ HES</x:v>
      </x:c>
      <x:c r="B111" s="132" t="str">
        <x:v>ARTVİN</x:v>
      </x:c>
      <x:c r="C111" s="142"/>
      <x:c r="D111" s="142"/>
      <x:c r="E111" s="132" t="n">
        <x:v>2170</x:v>
      </x:c>
      <x:c r="F111" s="132" t="str">
        <x:v>YUSUFELİ HES</x:v>
      </x:c>
      <x:c r="G111" s="132" t="str">
        <x:v>Artvin</x:v>
      </x:c>
      <x:c r="H111" s="142" t="n">
        <x:v>40.82</x:v>
      </x:c>
      <x:c r="I111" s="142" t="n">
        <x:v>41.654</x:v>
      </x:c>
      <x:c r="J111" s="132" t="str">
        <x:v>Tam ad eşleşmesi</x:v>
      </x:c>
      <x:c r="K111" s="132" t="str">
        <x:v>Yüksek</x:v>
      </x:c>
      <x:c r="L111" s="143"/>
      <x:c r="M111" s="132" t="str">
        <x:v>Evet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16" hidden="0" customWidth="1"/>
    <x:col min="5" max="5" width="20" hidden="0" customWidth="1"/>
    <x:col min="6" max="6" width="10" hidden="0" customWidth="1"/>
    <x:col min="7" max="7" width="16" hidden="0" customWidth="1"/>
    <x:col min="8" max="8" width="42" hidden="0" customWidth="1"/>
    <x:col min="9" max="9" width="30" hidden="0" customWidth="1"/>
    <x:col min="10" max="10" width="42" hidden="0" customWidth="1"/>
  </x:cols>
  <x:sheetData>
    <x:row r="1">
      <x:c r="A1" s="191" t="str">
        <x:v>v3 — TATUS Baraj Point Fallback Sonrası Koordinatı Hâlâ Eksik HES'ler</x:v>
      </x:c>
      <x:c r="B1" s="191"/>
      <x:c r="C1" s="191"/>
      <x:c r="D1" s="191"/>
      <x:c r="E1" s="191"/>
      <x:c r="F1" s="191"/>
      <x:c r="G1" s="191"/>
      <x:c r="H1" s="191"/>
      <x:c r="I1" s="191"/>
      <x:c r="J1" s="192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</x:row>
    <x:row r="3">
      <x:c r="A3" s="171" t="str">
        <x:v>Sıra</x:v>
      </x:c>
      <x:c r="B3" s="171" t="str">
        <x:v>HES</x:v>
      </x:c>
      <x:c r="C3" s="171" t="str">
        <x:v>Baraj / Rezervuar</x:v>
      </x:c>
      <x:c r="D3" s="171" t="str">
        <x:v>İl</x:v>
      </x:c>
      <x:c r="E3" s="171" t="str">
        <x:v>Havza</x:v>
      </x:c>
      <x:c r="F3" s="171" t="str">
        <x:v>Havza ID</x:v>
      </x:c>
      <x:c r="G3" s="171" t="str">
        <x:v>Kurulu Güç (MW)</x:v>
      </x:c>
      <x:c r="H3" s="171" t="str">
        <x:v>TATUS Baraj Point Sorgu URL</x:v>
      </x:c>
      <x:c r="I3" s="171" t="str">
        <x:v>Akarsu Polyline Durumu</x:v>
      </x:c>
      <x:c r="J3" s="171" t="str">
        <x:v>Not</x:v>
      </x:c>
    </x:row>
    <x:row r="4">
      <x:c r="A4" s="132" t="n">
        <x:v>13</x:v>
      </x:c>
      <x:c r="B4" s="132" t="str">
        <x:v>ALTEK GÖNEN HES</x:v>
      </x:c>
      <x:c r="C4" s="132" t="str">
        <x:v>ALTEK GÖNEN</x:v>
      </x:c>
      <x:c r="D4" s="132" t="str">
        <x:v>BALIKESİR</x:v>
      </x:c>
      <x:c r="E4" s="132" t="str">
        <x:v>Susurluk</x:v>
      </x:c>
      <x:c r="F4" s="132" t="n">
        <x:v>3</x:v>
      </x:c>
      <x:c r="G4" s="132" t="n">
        <x:v>10.6</x:v>
      </x:c>
      <x:c r="H4" s="132" t="str">
        <x:v>https://cbs1.tarimorman.gov.tr/server/rest/services/TATUS/FeatureServer/7/query?where=HAVZA_ID%3D3+AND+%28BarajAdi%3D%27ALTEK+G%C3%96NEN%27%29&amp;outFields=OBJECTID%2CBarajAdi%2CHavzaAdi%2CHAVZA_ID%2CIl&amp;returnGeometry=true&amp;outSR=4326&amp;f=geojson</x:v>
      </x:c>
      <x:c r="I4" s="132" t="str">
        <x:v>Koordinat yok — spatial sorgu üretilemedi</x:v>
      </x:c>
      <x:c r="J4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5">
      <x:c r="A5" s="132" t="n">
        <x:v>16</x:v>
      </x:c>
      <x:c r="B5" s="132" t="str">
        <x:v>ARAÇ HES</x:v>
      </x:c>
      <x:c r="C5" s="132" t="str">
        <x:v>Araç Barajı</x:v>
      </x:c>
      <x:c r="D5" s="132" t="str">
        <x:v>KASTAMONU</x:v>
      </x:c>
      <x:c r="E5" s="132" t="str">
        <x:v>Batı Karadeniz</x:v>
      </x:c>
      <x:c r="F5" s="132" t="n">
        <x:v>13</x:v>
      </x:c>
      <x:c r="G5" s="132" t="n">
        <x:v>5</x:v>
      </x:c>
      <x:c r="H5" s="132" t="str">
        <x:v>https://cbs1.tarimorman.gov.tr/server/rest/services/TATUS/FeatureServer/7/query?where=HAVZA_ID%3D13+AND+%28BarajAdi%3D%27Ara%C3%A7+Baraj%C4%B1%27+OR+BarajAdi%3D%27ARA%C3%87%27%29&amp;outFields=OBJECTID%2CBarajAdi%2CHavzaAdi%2CHAVZA_ID%2CIl&amp;returnGeometry=true&amp;outSR=4326&amp;f=geojson</x:v>
      </x:c>
      <x:c r="I5" s="132" t="str">
        <x:v>Koordinat yok — spatial sorgu üretilemedi</x:v>
      </x:c>
      <x:c r="J5" s="132" t="str">
        <x:v>Kaskat alanında kaynak değeri '10' (belirsiz/sentinel); Koordinat güvenilir açık kaynaktan doğrulanamadı</x:v>
      </x:c>
    </x:row>
    <x:row r="6">
      <x:c r="A6" s="132" t="n">
        <x:v>21</x:v>
      </x:c>
      <x:c r="B6" s="132" t="str">
        <x:v>ASLANDAĞI HES</x:v>
      </x:c>
      <x:c r="C6" s="132" t="str">
        <x:v>ASLANDAĞI</x:v>
      </x:c>
      <x:c r="D6" s="132" t="str">
        <x:v>HAKKARİ</x:v>
      </x:c>
      <x:c r="E6" s="132" t="str">
        <x:v>Van Gölü</x:v>
      </x:c>
      <x:c r="F6" s="132" t="n">
        <x:v>25</x:v>
      </x:c>
      <x:c r="G6" s="132" t="n">
        <x:v>19.16</x:v>
      </x:c>
      <x:c r="H6" s="132" t="str">
        <x:v>https://cbs1.tarimorman.gov.tr/server/rest/services/TATUS/FeatureServer/7/query?where=HAVZA_ID%3D25+AND+%28BarajAdi%3D%27ASLANDA%C4%9EI%27%29&amp;outFields=OBJECTID%2CBarajAdi%2CHavzaAdi%2CHAVZA_ID%2CIl&amp;returnGeometry=true&amp;outSR=4326&amp;f=geojson</x:v>
      </x:c>
      <x:c r="I6" s="132" t="str">
        <x:v>Koordinat yok — spatial sorgu üretilemedi</x:v>
      </x:c>
      <x:c r="J6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7">
      <x:c r="A7" s="132" t="n">
        <x:v>31</x:v>
      </x:c>
      <x:c r="B7" s="132" t="str">
        <x:v>BALLI HES</x:v>
      </x:c>
      <x:c r="C7" s="132" t="str">
        <x:v>BALLI</x:v>
      </x:c>
      <x:c r="D7" s="132" t="str">
        <x:v>ŞIRNAK</x:v>
      </x:c>
      <x:c r="E7" s="132" t="str">
        <x:v>Fırat-Dicle</x:v>
      </x:c>
      <x:c r="F7" s="132" t="n">
        <x:v>21</x:v>
      </x:c>
      <x:c r="G7" s="132" t="n">
        <x:v>2.37</x:v>
      </x:c>
      <x:c r="H7" s="132" t="str">
        <x:v>https://cbs1.tarimorman.gov.tr/server/rest/services/TATUS/FeatureServer/7/query?where=HAVZA_ID%3D21+AND+%28BarajAdi%3D%27BALLI%27%29&amp;outFields=OBJECTID%2CBarajAdi%2CHavzaAdi%2CHAVZA_ID%2CIl&amp;returnGeometry=true&amp;outSR=4326&amp;f=geojson</x:v>
      </x:c>
      <x:c r="I7" s="132" t="str">
        <x:v>Koordinat yok — spatial sorgu üretilemedi</x:v>
      </x:c>
      <x:c r="J7" s="132" t="str">
        <x:v>EPİAŞ su göstergesi eşleşmesi bulunamadı; Koordinat güvenilir açık kaynaktan doğrulanamadı; Kurulu güç bulunamadı; Kurulu güç kamu kaynağıyla doğrulandı; Ünite debisi doğrulanamadı; Maksimum/minimum hacim doğrulanamadı</x:v>
      </x:c>
    </x:row>
    <x:row r="8">
      <x:c r="A8" s="132" t="n">
        <x:v>34</x:v>
      </x:c>
      <x:c r="B8" s="132" t="str">
        <x:v>BERDAN HES</x:v>
      </x:c>
      <x:c r="C8" s="132" t="str">
        <x:v>BERDAN</x:v>
      </x:c>
      <x:c r="D8" s="132" t="str">
        <x:v>İÇEL</x:v>
      </x:c>
      <x:c r="E8" s="132" t="str">
        <x:v>Doğu Akdeniz</x:v>
      </x:c>
      <x:c r="F8" s="132" t="n">
        <x:v>17</x:v>
      </x:c>
      <x:c r="G8" s="132" t="n">
        <x:v>10.2</x:v>
      </x:c>
      <x:c r="H8" s="132" t="str">
        <x:v>https://cbs1.tarimorman.gov.tr/server/rest/services/TATUS/FeatureServer/7/query?where=HAVZA_ID%3D17+AND+%28BarajAdi%3D%27BERDAN%27%29&amp;outFields=OBJECTID%2CBarajAdi%2CHavzaAdi%2CHAVZA_ID%2CIl&amp;returnGeometry=true&amp;outSR=4326&amp;f=geojson</x:v>
      </x:c>
      <x:c r="I8" s="132" t="str">
        <x:v>Koordinat yok — spatial sorgu üretilemedi</x:v>
      </x:c>
      <x:c r="J8" s="132" t="str">
        <x:v>Kaskat alanında kaynak değeri '10' (belirsiz/sentinel); Koordinat güvenilir açık kaynaktan doğrulanamadı</x:v>
      </x:c>
    </x:row>
    <x:row r="9">
      <x:c r="A9" s="132" t="n">
        <x:v>38</x:v>
      </x:c>
      <x:c r="B9" s="132" t="str">
        <x:v>BOĞAZKÖY HES</x:v>
      </x:c>
      <x:c r="C9" s="132" t="str">
        <x:v>BOĞAZKÖY</x:v>
      </x:c>
      <x:c r="D9" s="132" t="str">
        <x:v>BURSA</x:v>
      </x:c>
      <x:c r="E9" s="132" t="str">
        <x:v>Marmara</x:v>
      </x:c>
      <x:c r="F9" s="132" t="n">
        <x:v>2</x:v>
      </x:c>
      <x:c r="G9" s="132" t="n">
        <x:v>10.6</x:v>
      </x:c>
      <x:c r="H9" s="132" t="str">
        <x:v>https://cbs1.tarimorman.gov.tr/server/rest/services/TATUS/FeatureServer/7/query?where=HAVZA_ID%3D2+AND+%28BarajAdi%3D%27BO%C4%9EAZK%C3%96Y%27%29&amp;outFields=OBJECTID%2CBarajAdi%2CHavzaAdi%2CHAVZA_ID%2CIl&amp;returnGeometry=true&amp;outSR=4326&amp;f=geojson</x:v>
      </x:c>
      <x:c r="I9" s="132" t="str">
        <x:v>Koordinat yok — spatial sorgu üretilemedi</x:v>
      </x:c>
      <x:c r="J9" s="132" t="str">
        <x:v>Kaskat alanında kaynak değeri '10' (belirsiz/sentinel); Koordinat güvenilir açık kaynaktan doğrulanamadı</x:v>
      </x:c>
    </x:row>
    <x:row r="10">
      <x:c r="A10" s="132" t="n">
        <x:v>41</x:v>
      </x:c>
      <x:c r="B10" s="132" t="str">
        <x:v>BOZKIR ETEK HES</x:v>
      </x:c>
      <x:c r="C10" s="132" t="str">
        <x:v>BOZKIR ETEK</x:v>
      </x:c>
      <x:c r="D10" s="132" t="str">
        <x:v>KONYA</x:v>
      </x:c>
      <x:c r="E10" s="132" t="str">
        <x:v>Konya Kapalı</x:v>
      </x:c>
      <x:c r="F10" s="132" t="n">
        <x:v>16</x:v>
      </x:c>
      <x:c r="G10" s="132" t="n">
        <x:v>18.838</x:v>
      </x:c>
      <x:c r="H10" s="132" t="str">
        <x:v>https://cbs1.tarimorman.gov.tr/server/rest/services/TATUS/FeatureServer/7/query?where=HAVZA_ID%3D16+AND+%28BarajAdi%3D%27BOZKIR+ETEK%27%29&amp;outFields=OBJECTID%2CBarajAdi%2CHavzaAdi%2CHAVZA_ID%2CIl&amp;returnGeometry=true&amp;outSR=4326&amp;f=geojson</x:v>
      </x:c>
      <x:c r="I10" s="132" t="str">
        <x:v>Koordinat yok — spatial sorgu üretilemedi</x:v>
      </x:c>
      <x:c r="J10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1">
      <x:c r="A11" s="132" t="n">
        <x:v>42</x:v>
      </x:c>
      <x:c r="B11" s="132" t="str">
        <x:v>BURÇBENDİ HES</x:v>
      </x:c>
      <x:c r="C11" s="132" t="str">
        <x:v>BURÇBENDİ</x:v>
      </x:c>
      <x:c r="D11" s="132" t="str">
        <x:v>ADIYAMAN</x:v>
      </x:c>
      <x:c r="E11" s="132" t="str">
        <x:v>Fırat-Dicle</x:v>
      </x:c>
      <x:c r="F11" s="132" t="n">
        <x:v>21</x:v>
      </x:c>
      <x:c r="G11" s="132" t="n">
        <x:v>27.33</x:v>
      </x:c>
      <x:c r="H11" s="132" t="str">
        <x:v>https://cbs1.tarimorman.gov.tr/server/rest/services/TATUS/FeatureServer/7/query?where=HAVZA_ID%3D21+AND+%28BarajAdi%3D%27BUR%C3%87BEND%C4%B0%27%29&amp;outFields=OBJECTID%2CBarajAdi%2CHavzaAdi%2CHAVZA_ID%2CIl&amp;returnGeometry=true&amp;outSR=4326&amp;f=geojson</x:v>
      </x:c>
      <x:c r="I11" s="132" t="str">
        <x:v>Koordinat yok — spatial sorgu üretilemedi</x:v>
      </x:c>
      <x:c r="J11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2">
      <x:c r="A12" s="132" t="n">
        <x:v>47</x:v>
      </x:c>
      <x:c r="B12" s="132" t="str">
        <x:v>ÇANDIR HES</x:v>
      </x:c>
      <x:c r="C12" s="132" t="str">
        <x:v>ÇANDIR</x:v>
      </x:c>
      <x:c r="D12" s="132" t="str">
        <x:v>ANTALYA</x:v>
      </x:c>
      <x:c r="E12" s="132" t="str">
        <x:v>Antalya</x:v>
      </x:c>
      <x:c r="F12" s="132" t="n">
        <x:v>9</x:v>
      </x:c>
      <x:c r="G12" s="132" t="n">
        <x:v>1.71</x:v>
      </x:c>
      <x:c r="H12" s="132" t="str">
        <x:v>https://cbs1.tarimorman.gov.tr/server/rest/services/TATUS/FeatureServer/7/query?where=HAVZA_ID%3D9+AND+%28BarajAdi%3D%27%C3%87ANDIR%27%29&amp;outFields=OBJECTID%2CBarajAdi%2CHavzaAdi%2CHAVZA_ID%2CIl&amp;returnGeometry=true&amp;outSR=4326&amp;f=geojson</x:v>
      </x:c>
      <x:c r="I12" s="132" t="str">
        <x:v>Koordinat yok — spatial sorgu üretilemedi</x:v>
      </x:c>
      <x:c r="J12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3">
      <x:c r="A13" s="132" t="n">
        <x:v>62</x:v>
      </x:c>
      <x:c r="B13" s="132" t="str">
        <x:v>DİM HES</x:v>
      </x:c>
      <x:c r="C13" s="132" t="str">
        <x:v>DİM</x:v>
      </x:c>
      <x:c r="D13" s="132" t="str">
        <x:v>ANTALYA</x:v>
      </x:c>
      <x:c r="E13" s="132" t="str">
        <x:v>Antalya</x:v>
      </x:c>
      <x:c r="F13" s="132" t="n">
        <x:v>9</x:v>
      </x:c>
      <x:c r="G13" s="132" t="n">
        <x:v>38.3</x:v>
      </x:c>
      <x:c r="H13" s="132" t="str">
        <x:v>https://cbs1.tarimorman.gov.tr/server/rest/services/TATUS/FeatureServer/7/query?where=HAVZA_ID%3D9+AND+%28BarajAdi%3D%27D%C4%B0M%27%29&amp;outFields=OBJECTID%2CBarajAdi%2CHavzaAdi%2CHAVZA_ID%2CIl&amp;returnGeometry=true&amp;outSR=4326&amp;f=geojson</x:v>
      </x:c>
      <x:c r="I13" s="132" t="str">
        <x:v>Koordinat yok — spatial sorgu üretilemedi</x:v>
      </x:c>
      <x:c r="J13" s="132" t="str">
        <x:v>Kaskat alanında kaynak değeri '10' (belirsiz/sentinel); Koordinat güvenilir açık kaynaktan doğrulanamadı</x:v>
      </x:c>
    </x:row>
    <x:row r="14">
      <x:c r="A14" s="132" t="n">
        <x:v>63</x:v>
      </x:c>
      <x:c r="B14" s="132" t="str">
        <x:v>DİNAR2 HES</x:v>
      </x:c>
      <x:c r="C14" s="132" t="str">
        <x:v>DİNAR2</x:v>
      </x:c>
      <x:c r="D14" s="132" t="str">
        <x:v>AFYONKARAHİSAR</x:v>
      </x:c>
      <x:c r="E14" s="132" t="str">
        <x:v>Büyük Menderes</x:v>
      </x:c>
      <x:c r="F14" s="132" t="n">
        <x:v>7</x:v>
      </x:c>
      <x:c r="G14" s="132" t="n">
        <x:v>3</x:v>
      </x:c>
      <x:c r="H14" s="132" t="str">
        <x:v>https://cbs1.tarimorman.gov.tr/server/rest/services/TATUS/FeatureServer/7/query?where=HAVZA_ID%3D7+AND+%28BarajAdi%3D%27D%C4%B0NAR2%27%29&amp;outFields=OBJECTID%2CBarajAdi%2CHavzaAdi%2CHAVZA_ID%2CIl&amp;returnGeometry=true&amp;outSR=4326&amp;f=geojson</x:v>
      </x:c>
      <x:c r="I14" s="132" t="str">
        <x:v>Koordinat yok — spatial sorgu üretilemedi</x:v>
      </x:c>
      <x:c r="J14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5">
      <x:c r="A15" s="132" t="n">
        <x:v>64</x:v>
      </x:c>
      <x:c r="B15" s="132" t="str">
        <x:v>DOĞANKAYA HES</x:v>
      </x:c>
      <x:c r="C15" s="132" t="str">
        <x:v>DOĞANKAYA</x:v>
      </x:c>
      <x:c r="D15" s="132" t="str">
        <x:v>ADIYAMAN</x:v>
      </x:c>
      <x:c r="E15" s="132" t="str">
        <x:v>Fırat-Dicle</x:v>
      </x:c>
      <x:c r="F15" s="132" t="n">
        <x:v>21</x:v>
      </x:c>
      <x:c r="G15" s="132" t="n">
        <x:v>20.55</x:v>
      </x:c>
      <x:c r="H15" s="132" t="str">
        <x:v>https://cbs1.tarimorman.gov.tr/server/rest/services/TATUS/FeatureServer/7/query?where=HAVZA_ID%3D21+AND+%28BarajAdi%3D%27DO%C4%9EANKAYA%27%29&amp;outFields=OBJECTID%2CBarajAdi%2CHavzaAdi%2CHAVZA_ID%2CIl&amp;returnGeometry=true&amp;outSR=4326&amp;f=geojson</x:v>
      </x:c>
      <x:c r="I15" s="132" t="str">
        <x:v>Koordinat yok — spatial sorgu üretilemedi</x:v>
      </x:c>
      <x:c r="J15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6">
      <x:c r="A16" s="132" t="n">
        <x:v>67</x:v>
      </x:c>
      <x:c r="B16" s="132" t="str">
        <x:v>ERKENEK (TEKTUĞ) HES</x:v>
      </x:c>
      <x:c r="C16" s="132" t="str">
        <x:v>ERKENEK (TEKTUĞ)</x:v>
      </x:c>
      <x:c r="D16" s="132" t="str">
        <x:v>MALATYA</x:v>
      </x:c>
      <x:c r="E16" s="132" t="str">
        <x:v>Fırat-Dicle</x:v>
      </x:c>
      <x:c r="F16" s="132" t="n">
        <x:v>21</x:v>
      </x:c>
      <x:c r="G16" s="132" t="n">
        <x:v>0.32</x:v>
      </x:c>
      <x:c r="H16" s="132" t="str">
        <x:v>https://cbs1.tarimorman.gov.tr/server/rest/services/TATUS/FeatureServer/7/query?where=HAVZA_ID%3D21+AND+%28BarajAdi%3D%27ERKENEK+%28TEKTU%C4%9E%29%27%29&amp;outFields=OBJECTID%2CBarajAdi%2CHavzaAdi%2CHAVZA_ID%2CIl&amp;returnGeometry=true&amp;outSR=4326&amp;f=geojson</x:v>
      </x:c>
      <x:c r="I16" s="132" t="str">
        <x:v>Koordinat yok — spatial sorgu üretilemedi</x:v>
      </x:c>
      <x:c r="J16" s="132" t="str">
        <x:v>EPİAŞ su göstergesi eşleşmesi bulunamadı; Koordinat güvenilir açık kaynaktan doğrulanamadı; Ünite debisi doğrulanamadı; Maksimum/minimum hacim doğrulanamadı</x:v>
      </x:c>
    </x:row>
    <x:row r="17">
      <x:c r="A17" s="132" t="n">
        <x:v>74</x:v>
      </x:c>
      <x:c r="B17" s="132" t="str">
        <x:v>GÖKÇELER HES</x:v>
      </x:c>
      <x:c r="C17" s="132" t="str">
        <x:v>GÖKÇELER</x:v>
      </x:c>
      <x:c r="D17" s="132" t="str">
        <x:v>ANTALYA</x:v>
      </x:c>
      <x:c r="E17" s="132" t="str">
        <x:v>Batı Akdeniz</x:v>
      </x:c>
      <x:c r="F17" s="132" t="n">
        <x:v>8</x:v>
      </x:c>
      <x:c r="G17" s="132" t="n">
        <x:v>2.5</x:v>
      </x:c>
      <x:c r="H17" s="132" t="str">
        <x:v>https://cbs1.tarimorman.gov.tr/server/rest/services/TATUS/FeatureServer/7/query?where=HAVZA_ID%3D8+AND+%28BarajAdi%3D%27G%C3%96K%C3%87ELER%27%29&amp;outFields=OBJECTID%2CBarajAdi%2CHavzaAdi%2CHAVZA_ID%2CIl&amp;returnGeometry=true&amp;outSR=4326&amp;f=geojson</x:v>
      </x:c>
      <x:c r="I17" s="132" t="str">
        <x:v>Koordinat yok — spatial sorgu üretilemedi</x:v>
      </x:c>
      <x:c r="J17" s="132" t="str">
        <x:v>Kaskat alanında kaynak değeri '10' (belirsiz/sentinel); Koordinat güvenilir açık kaynaktan doğrulanamadı</x:v>
      </x:c>
    </x:row>
    <x:row r="18">
      <x:c r="A18" s="132" t="n">
        <x:v>75</x:v>
      </x:c>
      <x:c r="B18" s="132" t="str">
        <x:v>GÖKKAYA HES</x:v>
      </x:c>
      <x:c r="C18" s="132" t="str">
        <x:v>GÖKKAYA</x:v>
      </x:c>
      <x:c r="D18" s="132" t="str">
        <x:v>ADANA</x:v>
      </x:c>
      <x:c r="E18" s="132" t="str">
        <x:v>Seyhan</x:v>
      </x:c>
      <x:c r="F18" s="132" t="n">
        <x:v>18</x:v>
      </x:c>
      <x:c r="G18" s="132" t="n">
        <x:v>28.54</x:v>
      </x:c>
      <x:c r="H18" s="132" t="str">
        <x:v>https://cbs1.tarimorman.gov.tr/server/rest/services/TATUS/FeatureServer/7/query?where=HAVZA_ID%3D18+AND+%28BarajAdi%3D%27G%C3%96KKAYA%27%29&amp;outFields=OBJECTID%2CBarajAdi%2CHavzaAdi%2CHAVZA_ID%2CIl&amp;returnGeometry=true&amp;outSR=4326&amp;f=geojson</x:v>
      </x:c>
      <x:c r="I18" s="132" t="str">
        <x:v>Koordinat yok — spatial sorgu üretilemedi</x:v>
      </x:c>
      <x:c r="J18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9">
      <x:c r="A19" s="132" t="n">
        <x:v>79</x:v>
      </x:c>
      <x:c r="B19" s="132" t="str">
        <x:v>GÜNDER HES</x:v>
      </x:c>
      <x:c r="C19" s="132" t="str">
        <x:v>GÜNDER</x:v>
      </x:c>
      <x:c r="D19" s="132" t="str">
        <x:v>KARAMAN</x:v>
      </x:c>
      <x:c r="E19" s="132" t="str">
        <x:v>Antalya</x:v>
      </x:c>
      <x:c r="F19" s="132" t="n">
        <x:v>9</x:v>
      </x:c>
      <x:c r="G19" s="132" t="n">
        <x:v>28.22</x:v>
      </x:c>
      <x:c r="H19" s="132" t="str">
        <x:v>https://cbs1.tarimorman.gov.tr/server/rest/services/TATUS/FeatureServer/7/query?where=HAVZA_ID%3D9+AND+%28BarajAdi%3D%27G%C3%9CNDER%27%29&amp;outFields=OBJECTID%2CBarajAdi%2CHavzaAdi%2CHAVZA_ID%2CIl&amp;returnGeometry=true&amp;outSR=4326&amp;f=geojson</x:v>
      </x:c>
      <x:c r="I19" s="132" t="str">
        <x:v>Koordinat yok — spatial sorgu üretilemedi</x:v>
      </x:c>
      <x:c r="J19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20">
      <x:c r="A20" s="132" t="n">
        <x:v>101</x:v>
      </x:c>
      <x:c r="B20" s="132" t="str">
        <x:v>KARTALKAYA HES</x:v>
      </x:c>
      <x:c r="C20" s="132" t="str">
        <x:v>KARTALKAYA</x:v>
      </x:c>
      <x:c r="D20" s="132" t="str">
        <x:v>KAHRAMANMARAŞ</x:v>
      </x:c>
      <x:c r="E20" s="132" t="str">
        <x:v>Ceyhan</x:v>
      </x:c>
      <x:c r="F20" s="132" t="n">
        <x:v>20</x:v>
      </x:c>
      <x:c r="G20" s="132" t="n">
        <x:v>8</x:v>
      </x:c>
      <x:c r="H20" s="132" t="str">
        <x:v>https://cbs1.tarimorman.gov.tr/server/rest/services/TATUS/FeatureServer/7/query?where=HAVZA_ID%3D20+AND+%28BarajAdi%3D%27KARTALKAYA%27%29&amp;outFields=OBJECTID%2CBarajAdi%2CHavzaAdi%2CHAVZA_ID%2CIl&amp;returnGeometry=true&amp;outSR=4326&amp;f=geojson</x:v>
      </x:c>
      <x:c r="I20" s="132" t="str">
        <x:v>Koordinat yok — spatial sorgu üretilemedi</x:v>
      </x:c>
      <x:c r="J20" s="132" t="str">
        <x:v>Koordinat güvenilir açık kaynaktan doğrulanamadı</x:v>
      </x:c>
    </x:row>
    <x:row r="21">
      <x:c r="A21" s="132" t="n">
        <x:v>116</x:v>
      </x:c>
      <x:c r="B21" s="132" t="str">
        <x:v>KOZAN HES</x:v>
      </x:c>
      <x:c r="C21" s="132" t="str">
        <x:v>KOZAN</x:v>
      </x:c>
      <x:c r="D21" s="132" t="str">
        <x:v>ADANA</x:v>
      </x:c>
      <x:c r="E21" s="132" t="str">
        <x:v>Ceyhan</x:v>
      </x:c>
      <x:c r="F21" s="132" t="n">
        <x:v>20</x:v>
      </x:c>
      <x:c r="G21" s="132" t="n">
        <x:v>4.8</x:v>
      </x:c>
      <x:c r="H21" s="132" t="str">
        <x:v>https://cbs1.tarimorman.gov.tr/server/rest/services/TATUS/FeatureServer/7/query?where=HAVZA_ID%3D20+AND+%28BarajAdi%3D%27KOZAN%27%29&amp;outFields=OBJECTID%2CBarajAdi%2CHavzaAdi%2CHAVZA_ID%2CIl&amp;returnGeometry=true&amp;outSR=4326&amp;f=geojson</x:v>
      </x:c>
      <x:c r="I21" s="132" t="str">
        <x:v>Koordinat yok — spatial sorgu üretilemedi</x:v>
      </x:c>
      <x:c r="J21" s="132" t="str">
        <x:v>Kaskat alanında kaynak değeri '10' (belirsiz/sentinel); Koordinat güvenilir açık kaynaktan doğrulanamadı</x:v>
      </x:c>
    </x:row>
    <x:row r="22">
      <x:c r="A22" s="132" t="n">
        <x:v>125</x:v>
      </x:c>
      <x:c r="B22" s="132" t="str">
        <x:v>MANYAS HES</x:v>
      </x:c>
      <x:c r="C22" s="132" t="str">
        <x:v>MANYAS</x:v>
      </x:c>
      <x:c r="D22" s="132" t="str">
        <x:v>BALIKESİR</x:v>
      </x:c>
      <x:c r="E22" s="132" t="str">
        <x:v>Susurluk</x:v>
      </x:c>
      <x:c r="F22" s="132" t="n">
        <x:v>3</x:v>
      </x:c>
      <x:c r="G22" s="132" t="n">
        <x:v>19</x:v>
      </x:c>
      <x:c r="H22" s="132" t="str">
        <x:v>https://cbs1.tarimorman.gov.tr/server/rest/services/TATUS/FeatureServer/7/query?where=HAVZA_ID%3D3+AND+%28BarajAdi%3D%27MANYAS%27%29&amp;outFields=OBJECTID%2CBarajAdi%2CHavzaAdi%2CHAVZA_ID%2CIl&amp;returnGeometry=true&amp;outSR=4326&amp;f=geojson</x:v>
      </x:c>
      <x:c r="I22" s="132" t="str">
        <x:v>Koordinat yok — spatial sorgu üretilemedi</x:v>
      </x:c>
      <x:c r="J22" s="132" t="str">
        <x:v>Kaskat alanında kaynak değeri '10' (belirsiz/sentinel); Koordinat güvenilir açık kaynaktan doğrulanamadı</x:v>
      </x:c>
    </x:row>
    <x:row r="23">
      <x:c r="A23" s="132" t="n">
        <x:v>130</x:v>
      </x:c>
      <x:c r="B23" s="132" t="str">
        <x:v>MURSAL HES</x:v>
      </x:c>
      <x:c r="C23" s="132" t="str">
        <x:v>MURSAL</x:v>
      </x:c>
      <x:c r="D23" s="132" t="str">
        <x:v>SİVAS</x:v>
      </x:c>
      <x:c r="E23" s="132" t="str">
        <x:v>Fırat-Dicle</x:v>
      </x:c>
      <x:c r="F23" s="132" t="n">
        <x:v>21</x:v>
      </x:c>
      <x:c r="G23" s="132" t="n">
        <x:v>8.68</x:v>
      </x:c>
      <x:c r="H23" s="132" t="str">
        <x:v>https://cbs1.tarimorman.gov.tr/server/rest/services/TATUS/FeatureServer/7/query?where=HAVZA_ID%3D21+AND+%28BarajAdi%3D%27MURSAL%27%29&amp;outFields=OBJECTID%2CBarajAdi%2CHavzaAdi%2CHAVZA_ID%2CIl&amp;returnGeometry=true&amp;outSR=4326&amp;f=geojson</x:v>
      </x:c>
      <x:c r="I23" s="132" t="str">
        <x:v>Koordinat yok — spatial sorgu üretilemedi</x:v>
      </x:c>
      <x:c r="J23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24">
      <x:c r="A24" s="132" t="n">
        <x:v>131</x:v>
      </x:c>
      <x:c r="B24" s="132" t="str">
        <x:v>MUSATEPE VE KAVŞAKTEPE HES</x:v>
      </x:c>
      <x:c r="C24" s="132" t="str">
        <x:v>MUSATEPE VE KAVŞAKTEPE</x:v>
      </x:c>
      <x:c r="D24" s="132" t="str">
        <x:v>ŞIRNAK</x:v>
      </x:c>
      <x:c r="E24" s="132" t="str">
        <x:v>Fırat-Dicle</x:v>
      </x:c>
      <x:c r="F24" s="132" t="n">
        <x:v>21</x:v>
      </x:c>
      <x:c r="G24" s="132" t="n">
        <x:v>3.5</x:v>
      </x:c>
      <x:c r="H24" s="132" t="str">
        <x:v>https://cbs1.tarimorman.gov.tr/server/rest/services/TATUS/FeatureServer/7/query?where=HAVZA_ID%3D21+AND+%28BarajAdi%3D%27MUSATEPE+VE+KAV%C5%9EAKTEPE%27%29&amp;outFields=OBJECTID%2CBarajAdi%2CHavzaAdi%2CHAVZA_ID%2CIl&amp;returnGeometry=true&amp;outSR=4326&amp;f=geojson</x:v>
      </x:c>
      <x:c r="I24" s="132" t="str">
        <x:v>Koordinat yok — spatial sorgu üretilemedi</x:v>
      </x:c>
      <x:c r="J24" s="132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25">
      <x:c r="A25" s="132" t="n">
        <x:v>141</x:v>
      </x:c>
      <x:c r="B25" s="132" t="str">
        <x:v>SEFAKÖY HES</x:v>
      </x:c>
      <x:c r="C25" s="132" t="str">
        <x:v>SEFAKÖY</x:v>
      </x:c>
      <x:c r="D25" s="132" t="str">
        <x:v>KARS</x:v>
      </x:c>
      <x:c r="E25" s="132" t="str">
        <x:v>Aras</x:v>
      </x:c>
      <x:c r="F25" s="132" t="n">
        <x:v>24</x:v>
      </x:c>
      <x:c r="G25" s="132" t="n">
        <x:v>33.11</x:v>
      </x:c>
      <x:c r="H25" s="132" t="str">
        <x:v>https://cbs1.tarimorman.gov.tr/server/rest/services/TATUS/FeatureServer/7/query?where=HAVZA_ID%3D24+AND+%28BarajAdi%3D%27SEFAK%C3%96Y%27%29&amp;outFields=OBJECTID%2CBarajAdi%2CHavzaAdi%2CHAVZA_ID%2CIl&amp;returnGeometry=true&amp;outSR=4326&amp;f=geojson</x:v>
      </x:c>
      <x:c r="I25" s="132" t="str">
        <x:v>Koordinat yok — spatial sorgu üretilemedi</x:v>
      </x:c>
      <x:c r="J25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26">
      <x:c r="A26" s="132" t="n">
        <x:v>144</x:v>
      </x:c>
      <x:c r="B26" s="132" t="str">
        <x:v>SIRAKONAKLAR HES</x:v>
      </x:c>
      <x:c r="C26" s="132" t="str">
        <x:v>SIRAKONAKLAR</x:v>
      </x:c>
      <x:c r="D26" s="132" t="str">
        <x:v>ERZURUM</x:v>
      </x:c>
      <x:c r="E26" s="132" t="str">
        <x:v>Çoruh</x:v>
      </x:c>
      <x:c r="F26" s="132" t="n">
        <x:v>23</x:v>
      </x:c>
      <x:c r="G26" s="132" t="n">
        <x:v>18</x:v>
      </x:c>
      <x:c r="H26" s="132" t="str">
        <x:v>https://cbs1.tarimorman.gov.tr/server/rest/services/TATUS/FeatureServer/7/query?where=HAVZA_ID%3D23+AND+%28BarajAdi%3D%27SIRAKONAKLAR%27%29&amp;outFields=OBJECTID%2CBarajAdi%2CHavzaAdi%2CHAVZA_ID%2CIl&amp;returnGeometry=true&amp;outSR=4326&amp;f=geojson</x:v>
      </x:c>
      <x:c r="I26" s="132" t="str">
        <x:v>Koordinat yok — spatial sorgu üretilemedi</x:v>
      </x:c>
      <x:c r="J26" s="132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27">
      <x:c r="A27" s="132" t="n">
        <x:v>146</x:v>
      </x:c>
      <x:c r="B27" s="132" t="str">
        <x:v>SIRIMTAŞ HES</x:v>
      </x:c>
      <x:c r="C27" s="132" t="str">
        <x:v>SIRIMTAŞ HES</x:v>
      </x:c>
      <x:c r="D27" s="132" t="str">
        <x:v>ADIYAMAN</x:v>
      </x:c>
      <x:c r="E27" s="132" t="str">
        <x:v>Fırat-Dicle</x:v>
      </x:c>
      <x:c r="F27" s="132" t="n">
        <x:v>21</x:v>
      </x:c>
      <x:c r="G27" s="132" t="n">
        <x:v>26</x:v>
      </x:c>
      <x:c r="H27" s="132" t="str">
        <x:v>https://cbs1.tarimorman.gov.tr/server/rest/services/TATUS/FeatureServer/7/query?where=HAVZA_ID%3D21+AND+%28BarajAdi%3D%27SIRIMTA%C5%9E+HES%27+OR+BarajAdi%3D%27SIRIMTA%C5%9E%27%29&amp;outFields=OBJECTID%2CBarajAdi%2CHavzaAdi%2CHAVZA_ID%2CIl&amp;returnGeometry=true&amp;outSR=4326&amp;f=geojson</x:v>
      </x:c>
      <x:c r="I27" s="132" t="str">
        <x:v>Koordinat yok — spatial sorgu üretilemedi</x:v>
      </x:c>
      <x:c r="J27" s="132" t="str">
        <x:v>Koordinat güvenilir açık kaynaktan doğrulanamadı</x:v>
      </x:c>
    </x:row>
    <x:row r="28">
      <x:c r="A28" s="132" t="n">
        <x:v>147</x:v>
      </x:c>
      <x:c r="B28" s="132" t="str">
        <x:v>SİLOPİ HES</x:v>
      </x:c>
      <x:c r="C28" s="132" t="str">
        <x:v>SİLOPİ</x:v>
      </x:c>
      <x:c r="D28" s="132" t="str">
        <x:v>ŞIRNAK</x:v>
      </x:c>
      <x:c r="E28" s="132" t="str">
        <x:v>Fırat-Dicle</x:v>
      </x:c>
      <x:c r="F28" s="132" t="n">
        <x:v>21</x:v>
      </x:c>
      <x:c r="G28" s="132" t="n">
        <x:v>2.376</x:v>
      </x:c>
      <x:c r="H28" s="132" t="str">
        <x:v>https://cbs1.tarimorman.gov.tr/server/rest/services/TATUS/FeatureServer/7/query?where=HAVZA_ID%3D21+AND+%28BarajAdi%3D%27S%C4%B0LOP%C4%B0%27%29&amp;outFields=OBJECTID%2CBarajAdi%2CHavzaAdi%2CHAVZA_ID%2CIl&amp;returnGeometry=true&amp;outSR=4326&amp;f=geojson</x:v>
      </x:c>
      <x:c r="I28" s="132" t="str">
        <x:v>Koordinat yok — spatial sorgu üretilemedi</x:v>
      </x:c>
      <x:c r="J28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Kurulu güç kamu kaynağıyla doğrulandı; Ünite debisi doğrulanamadı; Maksimum/minimum hacim doğrulanamadı</x:v>
      </x:c>
    </x:row>
    <x:row r="29">
      <x:c r="A29" s="132" t="n">
        <x:v>149</x:v>
      </x:c>
      <x:c r="B29" s="132" t="str">
        <x:v>SUÇATI HES KAHRAMANMARAŞ</x:v>
      </x:c>
      <x:c r="C29" s="132" t="str">
        <x:v>SUÇATI</x:v>
      </x:c>
      <x:c r="D29" s="132" t="str">
        <x:v>KAHRAMANMARAŞ</x:v>
      </x:c>
      <x:c r="E29" s="132" t="str">
        <x:v>Ceyhan</x:v>
      </x:c>
      <x:c r="F29" s="132" t="n">
        <x:v>20</x:v>
      </x:c>
      <x:c r="G29" s="132" t="n">
        <x:v>7</x:v>
      </x:c>
      <x:c r="H29" s="132" t="str">
        <x:v>https://cbs1.tarimorman.gov.tr/server/rest/services/TATUS/FeatureServer/7/query?where=HAVZA_ID%3D20+AND+%28BarajAdi%3D%27SU%C3%87ATI%27+OR+BarajAdi%3D%27SU%C3%87ATI+HES+KAHRAMANMARA%C5%9E%27%29&amp;outFields=OBJECTID%2CBarajAdi%2CHavzaAdi%2CHAVZA_ID%2CIl&amp;returnGeometry=true&amp;outSR=4326&amp;f=geojson</x:v>
      </x:c>
      <x:c r="I29" s="132" t="str">
        <x:v>Koordinat yok — spatial sorgu üretilemedi</x:v>
      </x:c>
      <x:c r="J29" s="132" t="str">
        <x:v>Baraj adı eşleşmesi: SUÇATI; Koordinat güvenilir açık kaynaktan doğrulanamadı</x:v>
      </x:c>
    </x:row>
    <x:row r="30">
      <x:c r="A30" s="132" t="n">
        <x:v>151</x:v>
      </x:c>
      <x:c r="B30" s="132" t="str">
        <x:v>SÜMER HES</x:v>
      </x:c>
      <x:c r="C30" s="132" t="str">
        <x:v>SÜMER</x:v>
      </x:c>
      <x:c r="D30" s="132" t="str">
        <x:v>GİRESUN</x:v>
      </x:c>
      <x:c r="E30" s="132" t="str">
        <x:v>Yeşilırmak</x:v>
      </x:c>
      <x:c r="F30" s="132" t="n">
        <x:v>14</x:v>
      </x:c>
      <x:c r="G30" s="132" t="n">
        <x:v>21.6</x:v>
      </x:c>
      <x:c r="H30" s="132" t="str">
        <x:v>https://cbs1.tarimorman.gov.tr/server/rest/services/TATUS/FeatureServer/7/query?where=HAVZA_ID%3D14+AND+%28BarajAdi%3D%27S%C3%9CMER%27%29&amp;outFields=OBJECTID%2CBarajAdi%2CHavzaAdi%2CHAVZA_ID%2CIl&amp;returnGeometry=true&amp;outSR=4326&amp;f=geojson</x:v>
      </x:c>
      <x:c r="I30" s="132" t="str">
        <x:v>Koordinat yok — spatial sorgu üretilemedi</x:v>
      </x:c>
      <x:c r="J30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31">
      <x:c r="A31" s="132" t="n">
        <x:v>152</x:v>
      </x:c>
      <x:c r="B31" s="132" t="str">
        <x:v>ŞANLIURFA HES</x:v>
      </x:c>
      <x:c r="C31" s="132" t="str">
        <x:v>ŞANLIURFA</x:v>
      </x:c>
      <x:c r="D31" s="132" t="str">
        <x:v>ŞANLIURFA</x:v>
      </x:c>
      <x:c r="E31" s="132" t="str">
        <x:v>Fırat-Dicle</x:v>
      </x:c>
      <x:c r="F31" s="132" t="n">
        <x:v>21</x:v>
      </x:c>
      <x:c r="G31" s="132" t="n">
        <x:v>51</x:v>
      </x:c>
      <x:c r="H31" s="132" t="str">
        <x:v>https://cbs1.tarimorman.gov.tr/server/rest/services/TATUS/FeatureServer/7/query?where=HAVZA_ID%3D21+AND+%28BarajAdi%3D%27%C5%9EANLIURFA%27%29&amp;outFields=OBJECTID%2CBarajAdi%2CHavzaAdi%2CHAVZA_ID%2CIl&amp;returnGeometry=true&amp;outSR=4326&amp;f=geojson</x:v>
      </x:c>
      <x:c r="I31" s="132" t="str">
        <x:v>Koordinat yok — spatial sorgu üretilemedi</x:v>
      </x:c>
      <x:c r="J31" s="132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32">
      <x:c r="A32" s="132" t="n">
        <x:v>153</x:v>
      </x:c>
      <x:c r="B32" s="132" t="str">
        <x:v>ŞIRNAK HES</x:v>
      </x:c>
      <x:c r="C32" s="132" t="str">
        <x:v>ŞIRNAK</x:v>
      </x:c>
      <x:c r="D32" s="132" t="str">
        <x:v>ŞIRNAK</x:v>
      </x:c>
      <x:c r="E32" s="132" t="str">
        <x:v>Fırat-Dicle</x:v>
      </x:c>
      <x:c r="F32" s="132" t="n">
        <x:v>21</x:v>
      </x:c>
      <x:c r="G32" s="132" t="n">
        <x:v>4.95</x:v>
      </x:c>
      <x:c r="H32" s="132" t="str">
        <x:v>https://cbs1.tarimorman.gov.tr/server/rest/services/TATUS/FeatureServer/7/query?where=HAVZA_ID%3D21+AND+%28BarajAdi%3D%27%C5%9EIRNAK%27%29&amp;outFields=OBJECTID%2CBarajAdi%2CHavzaAdi%2CHAVZA_ID%2CIl&amp;returnGeometry=true&amp;outSR=4326&amp;f=geojson</x:v>
      </x:c>
      <x:c r="I32" s="132" t="str">
        <x:v>Koordinat yok — spatial sorgu üretilemedi</x:v>
      </x:c>
      <x:c r="J32" s="132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33">
      <x:c r="A33" s="132" t="n">
        <x:v>154</x:v>
      </x:c>
      <x:c r="B33" s="132" t="str">
        <x:v>ŞİRVAN HES</x:v>
      </x:c>
      <x:c r="C33" s="132" t="str">
        <x:v>ŞİRVAN</x:v>
      </x:c>
      <x:c r="D33" s="132" t="str">
        <x:v>SİİRT</x:v>
      </x:c>
      <x:c r="E33" s="132" t="str">
        <x:v>Fırat-Dicle</x:v>
      </x:c>
      <x:c r="F33" s="132" t="n">
        <x:v>21</x:v>
      </x:c>
      <x:c r="G33" s="132" t="n">
        <x:v>30</x:v>
      </x:c>
      <x:c r="H33" s="132" t="str">
        <x:v>https://cbs1.tarimorman.gov.tr/server/rest/services/TATUS/FeatureServer/7/query?where=HAVZA_ID%3D21+AND+%28BarajAdi%3D%27%C5%9E%C4%B0RVAN%27%29&amp;outFields=OBJECTID%2CBarajAdi%2CHavzaAdi%2CHAVZA_ID%2CIl&amp;returnGeometry=true&amp;outSR=4326&amp;f=geojson</x:v>
      </x:c>
      <x:c r="I33" s="132" t="str">
        <x:v>Koordinat yok — spatial sorgu üretilemedi</x:v>
      </x:c>
      <x:c r="J33" s="132" t="str">
        <x:v>EPİAŞ su göstergesi eşleşmesi bulunamadı; Koordinat güvenilir açık kaynaktan doğrulanamadı; Ünite debisi doğrulanamadı; Maksimum/minimum hacim doğrulanamadı</x:v>
      </x:c>
    </x:row>
    <x:row r="34">
      <x:c r="A34" s="132" t="n">
        <x:v>157</x:v>
      </x:c>
      <x:c r="B34" s="132" t="str">
        <x:v>TERCAN HES</x:v>
      </x:c>
      <x:c r="C34" s="132" t="str">
        <x:v>TERCAN</x:v>
      </x:c>
      <x:c r="D34" s="132" t="str">
        <x:v>ERZİNCAN</x:v>
      </x:c>
      <x:c r="E34" s="132" t="str">
        <x:v>Fırat-Dicle</x:v>
      </x:c>
      <x:c r="F34" s="132" t="n">
        <x:v>21</x:v>
      </x:c>
      <x:c r="G34" s="132" t="n">
        <x:v>16.9</x:v>
      </x:c>
      <x:c r="H34" s="132" t="str">
        <x:v>https://cbs1.tarimorman.gov.tr/server/rest/services/TATUS/FeatureServer/7/query?where=HAVZA_ID%3D21+AND+%28BarajAdi%3D%27TERCAN%27%29&amp;outFields=OBJECTID%2CBarajAdi%2CHavzaAdi%2CHAVZA_ID%2CIl&amp;returnGeometry=true&amp;outSR=4326&amp;f=geojson</x:v>
      </x:c>
      <x:c r="I34" s="132" t="str">
        <x:v>Koordinat yok — spatial sorgu üretilemedi</x:v>
      </x:c>
      <x:c r="J34" s="132" t="str">
        <x:v>EPİAŞ su göstergesi eşleşmesi bulunamadı; Koordinat güvenilir açık kaynaktan doğrulanamadı; Ünite debisi doğrulanamadı; Maksimum/minimum hacim doğrulanamadı</x:v>
      </x:c>
    </x:row>
    <x:row r="35">
      <x:c r="A35" s="132" t="n">
        <x:v>158</x:v>
      </x:c>
      <x:c r="B35" s="132" t="str">
        <x:v>TOCAK I HES</x:v>
      </x:c>
      <x:c r="C35" s="132" t="str">
        <x:v>TOCAK I</x:v>
      </x:c>
      <x:c r="D35" s="132" t="str">
        <x:v>ANTALYA</x:v>
      </x:c>
      <x:c r="E35" s="132" t="str">
        <x:v>Batı Akdeniz</x:v>
      </x:c>
      <x:c r="F35" s="132" t="n">
        <x:v>8</x:v>
      </x:c>
      <x:c r="G35" s="132" t="n">
        <x:v>4.76</x:v>
      </x:c>
      <x:c r="H35" s="132" t="str">
        <x:v>https://cbs1.tarimorman.gov.tr/server/rest/services/TATUS/FeatureServer/7/query?where=HAVZA_ID%3D8+AND+%28BarajAdi%3D%27TOCAK+I%27%29&amp;outFields=OBJECTID%2CBarajAdi%2CHavzaAdi%2CHAVZA_ID%2CIl&amp;returnGeometry=true&amp;outSR=4326&amp;f=geojson</x:v>
      </x:c>
      <x:c r="I35" s="132" t="str">
        <x:v>Koordinat yok — spatial sorgu üretilemedi</x:v>
      </x:c>
      <x:c r="J35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36">
      <x:c r="A36" s="132" t="n">
        <x:v>161</x:v>
      </x:c>
      <x:c r="B36" s="132" t="str">
        <x:v>TORTUM HES</x:v>
      </x:c>
      <x:c r="C36" s="132" t="str">
        <x:v>TORTUM</x:v>
      </x:c>
      <x:c r="D36" s="132" t="str">
        <x:v>ERZURUM</x:v>
      </x:c>
      <x:c r="E36" s="132" t="str">
        <x:v>Çoruh</x:v>
      </x:c>
      <x:c r="F36" s="132" t="n">
        <x:v>23</x:v>
      </x:c>
      <x:c r="G36" s="132" t="n">
        <x:v>26.2</x:v>
      </x:c>
      <x:c r="H36" s="132" t="str">
        <x:v>https://cbs1.tarimorman.gov.tr/server/rest/services/TATUS/FeatureServer/7/query?where=HAVZA_ID%3D23+AND+%28BarajAdi%3D%27TORTUM%27%29&amp;outFields=OBJECTID%2CBarajAdi%2CHavzaAdi%2CHAVZA_ID%2CIl&amp;returnGeometry=true&amp;outSR=4326&amp;f=geojson</x:v>
      </x:c>
      <x:c r="I36" s="132" t="str">
        <x:v>Koordinat yok — spatial sorgu üretilemedi</x:v>
      </x:c>
      <x:c r="J36" s="132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37">
      <x:c r="A37" s="132" t="n">
        <x:v>165</x:v>
      </x:c>
      <x:c r="B37" s="132" t="str">
        <x:v>ULUDERE BARAJI VE HES</x:v>
      </x:c>
      <x:c r="C37" s="132" t="str">
        <x:v>ULUDERE BARAJI VE</x:v>
      </x:c>
      <x:c r="D37" s="132" t="str">
        <x:v>ŞIRNAK</x:v>
      </x:c>
      <x:c r="E37" s="132" t="str">
        <x:v>Fırat-Dicle</x:v>
      </x:c>
      <x:c r="F37" s="132" t="n">
        <x:v>21</x:v>
      </x:c>
      <x:c r="G37" s="132" t="n">
        <x:v>3.43</x:v>
      </x:c>
      <x:c r="H37" s="132" t="str">
        <x:v>https://cbs1.tarimorman.gov.tr/server/rest/services/TATUS/FeatureServer/7/query?where=HAVZA_ID%3D21+AND+%28BarajAdi%3D%27ULUDERE+BARAJI+VE%27+OR+BarajAdi%3D%27ULUDERE%27%29&amp;outFields=OBJECTID%2CBarajAdi%2CHavzaAdi%2CHAVZA_ID%2CIl&amp;returnGeometry=true&amp;outSR=4326&amp;f=geojson</x:v>
      </x:c>
      <x:c r="I37" s="132" t="str">
        <x:v>Koordinat yok — spatial sorgu üretilemedi</x:v>
      </x:c>
      <x:c r="J37" s="132" t="str">
        <x:v>EPİAŞ su göstergesi eşleşmesi bulunamadı; Koordinat güvenilir açık kaynaktan doğrulanamadı; Kurulu güç bulunamadı; Eksik kurulu güç/il bilgisi kamuya açık web kaynağıyla tamamlandı; Kurulu güç kamu kaynağıyla doğrulandı; Ünite debisi doğrulanamadı; Maksimum/minimum hacim doğrulanamadı</x:v>
      </x:c>
    </x:row>
    <x:row r="38">
      <x:c r="A38" s="132" t="n">
        <x:v>169</x:v>
      </x:c>
      <x:c r="B38" s="132" t="str">
        <x:v>YALNIZ ARDIÇ HES</x:v>
      </x:c>
      <x:c r="C38" s="132" t="str">
        <x:v>YALNIZARDIÇ</x:v>
      </x:c>
      <x:c r="D38" s="132" t="str">
        <x:v>ANTALYA</x:v>
      </x:c>
      <x:c r="E38" s="132" t="str">
        <x:v>Antalya</x:v>
      </x:c>
      <x:c r="F38" s="132" t="n">
        <x:v>9</x:v>
      </x:c>
      <x:c r="G38" s="132" t="n">
        <x:v>10</x:v>
      </x:c>
      <x:c r="H38" s="132" t="str">
        <x:v>https://cbs1.tarimorman.gov.tr/server/rest/services/TATUS/FeatureServer/7/query?where=HAVZA_ID%3D9+AND+%28BarajAdi%3D%27YALNIZARDI%C3%87%27+OR+BarajAdi%3D%27YALNIZ+ARDI%C3%87%27%29&amp;outFields=OBJECTID%2CBarajAdi%2CHavzaAdi%2CHAVZA_ID%2CIl&amp;returnGeometry=true&amp;outSR=4326&amp;f=geojson</x:v>
      </x:c>
      <x:c r="I38" s="132" t="str">
        <x:v>Koordinat yok — spatial sorgu üretilemedi</x:v>
      </x:c>
      <x:c r="J38" s="132" t="str">
        <x:v>Baraj adı eşleşmesi: YALNIZARDIÇ; Kaskat alanında kaynak değeri '10' (belirsiz/sentinel); Koordinat güvenilir açık kaynaktan doğrulanamadı</x:v>
      </x:c>
    </x:row>
    <x:row r="39">
      <x:c r="A39" s="132" t="n">
        <x:v>173</x:v>
      </x:c>
      <x:c r="B39" s="132" t="str">
        <x:v>YAZI HES</x:v>
      </x:c>
      <x:c r="C39" s="132" t="str">
        <x:v>YAZI</x:v>
      </x:c>
      <x:c r="D39" s="132"/>
      <x:c r="E39" s="132" t="str">
        <x:v>Yeşilırmak</x:v>
      </x:c>
      <x:c r="F39" s="132" t="n">
        <x:v>14</x:v>
      </x:c>
      <x:c r="G39" s="132" t="n">
        <x:v>1.2</x:v>
      </x:c>
      <x:c r="H39" s="132" t="str">
        <x:v>https://cbs1.tarimorman.gov.tr/server/rest/services/TATUS/FeatureServer/7/query?where=HAVZA_ID%3D14+AND+%28BarajAdi%3D%27YAZI%27%29&amp;outFields=OBJECTID%2CBarajAdi%2CHavzaAdi%2CHAVZA_ID%2CIl&amp;returnGeometry=true&amp;outSR=4326&amp;f=geojson</x:v>
      </x:c>
      <x:c r="I39" s="132" t="str">
        <x:v>Koordinat yok — spatial sorgu üretilemedi</x:v>
      </x:c>
      <x:c r="J39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40">
      <x:c r="A40" s="132" t="n">
        <x:v>176</x:v>
      </x:c>
      <x:c r="B40" s="132" t="str">
        <x:v>YUKARI MANAHOZ HES</x:v>
      </x:c>
      <x:c r="C40" s="132" t="str">
        <x:v>YUKARI MANAHOZ</x:v>
      </x:c>
      <x:c r="D40" s="132" t="str">
        <x:v>TRABZON</x:v>
      </x:c>
      <x:c r="E40" s="132" t="str">
        <x:v>Doğu Karadeniz</x:v>
      </x:c>
      <x:c r="F40" s="132" t="n">
        <x:v>22</x:v>
      </x:c>
      <x:c r="G40" s="132" t="n">
        <x:v>22.4</x:v>
      </x:c>
      <x:c r="H40" s="132" t="str">
        <x:v>https://cbs1.tarimorman.gov.tr/server/rest/services/TATUS/FeatureServer/7/query?where=HAVZA_ID%3D22+AND+%28BarajAdi%3D%27YUKARI+MANAHOZ%27%29&amp;outFields=OBJECTID%2CBarajAdi%2CHavzaAdi%2CHAVZA_ID%2CIl&amp;returnGeometry=true&amp;outSR=4326&amp;f=geojson</x:v>
      </x:c>
      <x:c r="I40" s="132" t="str">
        <x:v>Koordinat yok — spatial sorgu üretilemedi</x:v>
      </x:c>
      <x:c r="J40" s="132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41">
      <x:c r="A41" s="132"/>
      <x:c r="B41" s="132"/>
      <x:c r="C41" s="132"/>
      <x:c r="D41" s="132"/>
      <x:c r="E41" s="132"/>
      <x:c r="F41" s="132"/>
      <x:c r="G41" s="132"/>
      <x:c r="H41" s="132"/>
      <x:c r="I41" s="132"/>
    </x:row>
    <x:row r="42">
      <x:c r="A42" s="132"/>
      <x:c r="B42" s="132"/>
      <x:c r="C42" s="132"/>
      <x:c r="D42" s="132"/>
      <x:c r="E42" s="132"/>
      <x:c r="F42" s="132"/>
      <x:c r="G42" s="132"/>
      <x:c r="H42" s="132"/>
      <x:c r="I42" s="132"/>
    </x:row>
    <x:row r="43">
      <x:c r="A43" s="132"/>
      <x:c r="B43" s="132"/>
      <x:c r="C43" s="132"/>
      <x:c r="D43" s="132"/>
      <x:c r="E43" s="132"/>
      <x:c r="F43" s="132"/>
      <x:c r="G43" s="132"/>
      <x:c r="H43" s="132"/>
      <x:c r="I43" s="132"/>
    </x:row>
    <x:row r="44">
      <x:c r="A44" s="132"/>
      <x:c r="B44" s="132"/>
      <x:c r="C44" s="132"/>
      <x:c r="D44" s="132"/>
      <x:c r="E44" s="132"/>
      <x:c r="F44" s="132"/>
      <x:c r="G44" s="132"/>
      <x:c r="H44" s="132"/>
      <x:c r="I44" s="132"/>
    </x:row>
    <x:row r="45">
      <x:c r="A45" s="132"/>
      <x:c r="B45" s="132"/>
      <x:c r="C45" s="132"/>
      <x:c r="D45" s="132"/>
      <x:c r="E45" s="132"/>
      <x:c r="F45" s="132"/>
      <x:c r="G45" s="132"/>
      <x:c r="H45" s="132"/>
      <x:c r="I45" s="132"/>
    </x:row>
    <x:row r="46">
      <x:c r="A46" s="132"/>
      <x:c r="B46" s="132"/>
      <x:c r="C46" s="132"/>
      <x:c r="D46" s="132"/>
      <x:c r="E46" s="132"/>
      <x:c r="F46" s="132"/>
      <x:c r="G46" s="132"/>
      <x:c r="H46" s="132"/>
      <x:c r="I46" s="132"/>
    </x:row>
    <x:row r="47">
      <x:c r="A47" s="132"/>
      <x:c r="B47" s="132"/>
      <x:c r="C47" s="132"/>
      <x:c r="D47" s="132"/>
      <x:c r="E47" s="132"/>
      <x:c r="F47" s="132"/>
      <x:c r="G47" s="132"/>
      <x:c r="H47" s="132"/>
      <x:c r="I47" s="132"/>
    </x:row>
    <x:row r="48">
      <x:c r="A48" s="132"/>
      <x:c r="B48" s="132"/>
      <x:c r="C48" s="132"/>
      <x:c r="D48" s="132"/>
      <x:c r="E48" s="132"/>
      <x:c r="F48" s="132"/>
      <x:c r="G48" s="132"/>
      <x:c r="H48" s="132"/>
      <x:c r="I48" s="132"/>
    </x:row>
    <x:row r="49">
      <x:c r="A49" s="132"/>
      <x:c r="B49" s="132"/>
      <x:c r="C49" s="132"/>
      <x:c r="D49" s="132"/>
      <x:c r="E49" s="132"/>
      <x:c r="F49" s="132"/>
      <x:c r="G49" s="132"/>
      <x:c r="H49" s="132"/>
      <x:c r="I49" s="132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2" hidden="0" customWidth="1"/>
    <x:col min="5" max="5" width="30" hidden="0" customWidth="1"/>
    <x:col min="6" max="6" width="46" hidden="0" customWidth="1"/>
  </x:cols>
  <x:sheetData>
    <x:row r="1">
      <x:c r="A1" s="174" t="str">
        <x:v>177 HES — TATUS GIS Zenginleştirme Özeti</x:v>
      </x:c>
      <x:c r="B1" s="174"/>
      <x:c r="C1" s="174"/>
      <x:c r="D1" s="174"/>
      <x:c r="E1" s="174"/>
      <x:c r="F1" s="174"/>
    </x:row>
    <x:row r="3">
      <x:c r="A3" s="171" t="str">
        <x:v>Katman / Geometri</x:v>
      </x:c>
      <x:c r="B3" s="171" t="str">
        <x:v>Kaynak</x:v>
      </x:c>
      <x:c r="C3" s="171" t="str">
        <x:v>Geometri</x:v>
      </x:c>
      <x:c r="D3" s="171" t="str">
        <x:v>Kapsam</x:v>
      </x:c>
      <x:c r="E3" s="171" t="str">
        <x:v>Kullanım</x:v>
      </x:c>
      <x:c r="F3" s="171" t="str">
        <x:v>Not</x:v>
      </x:c>
    </x:row>
    <x:row r="4">
      <x:c r="A4" s="132" t="str">
        <x:v>HES konumu</x:v>
      </x:c>
      <x:c r="B4" s="132" t="str">
        <x:v>Envanter v2 + TATUS fallback</x:v>
      </x:c>
      <x:c r="C4" s="132" t="str">
        <x:v>Point</x:v>
      </x:c>
      <x:c r="D4" s="132" t="str">
        <x:v>140/177</x:v>
      </x:c>
      <x:c r="E4" s="132" t="str">
        <x:v>Harita HES noktası</x:v>
      </x:c>
      <x:c r="F4" s="132" t="str">
        <x:v>Trafo kökenli koordinatlar yaklaşık olarak etiketlidir</x:v>
      </x:c>
    </x:row>
    <x:row r="5">
      <x:c r="A5" s="132" t="str">
        <x:v>Baraj gözlem noktası</x:v>
      </x:c>
      <x:c r="B5" s="132" t="str">
        <x:v>TATUS Layer 7</x:v>
      </x:c>
      <x:c r="C5" s="132" t="str">
        <x:v>Point</x:v>
      </x:c>
      <x:c r="D5" s="132" t="str">
        <x:v>48/177 doğrudan</x:v>
      </x:c>
      <x:c r="E5" s="132" t="str">
        <x:v>Baraj/HES marker doğrulaması</x:v>
      </x:c>
      <x:c r="F5" s="132" t="str">
        <x:v>Diğer satırlarda satır-bazlı resmi sorgu URL'si mevcuttur</x:v>
      </x:c>
    </x:row>
    <x:row r="6">
      <x:c r="A6" s="132" t="str">
        <x:v>Akarsu / nehir</x:v>
      </x:c>
      <x:c r="B6" s="132" t="str">
        <x:v>TATUS Layer 8</x:v>
      </x:c>
      <x:c r="C6" s="132" t="str">
        <x:v>Polyline / LineString</x:v>
      </x:c>
      <x:c r="D6" s="132" t="str">
        <x:v>140/177 spatial URL</x:v>
      </x:c>
      <x:c r="E6" s="132" t="str">
        <x:v>HES ile ilişkili akarsu çizgisi</x:v>
      </x:c>
      <x:c r="F6" s="132" t="str">
        <x:v>5 km çevre sorgusu; en uygun segment isim/Strahler/mesafe ile seçilmeli</x:v>
      </x:c>
    </x:row>
    <x:row r="7">
      <x:c r="A7" s="132" t="str">
        <x:v>Su toplama alanı</x:v>
      </x:c>
      <x:c r="B7" s="132" t="str">
        <x:v>TATUS Layer 9</x:v>
      </x:c>
      <x:c r="C7" s="132" t="str">
        <x:v>Polygon</x:v>
      </x:c>
      <x:c r="D7" s="132" t="str">
        <x:v>140/177 spatial URL</x:v>
      </x:c>
      <x:c r="E7" s="132" t="str">
        <x:v>Popup: Su alanını göster</x:v>
      </x:c>
      <x:c r="F7" s="132" t="str">
        <x:v>Drenaj/catchment alanıdır; rezervuar su yüzeyi değildir</x:v>
      </x:c>
    </x:row>
    <x:row r="8">
      <x:c r="A8" s="132" t="str">
        <x:v>Havza</x:v>
      </x:c>
      <x:c r="B8" s="132" t="str">
        <x:v>TATUS Layer 11</x:v>
      </x:c>
      <x:c r="C8" s="132" t="str">
        <x:v>Polygon</x:v>
      </x:c>
      <x:c r="D8" s="132" t="str">
        <x:v>177/177</x:v>
      </x:c>
      <x:c r="E8" s="132" t="str">
        <x:v>Havza sınırı</x:v>
      </x:c>
      <x:c r="F8" s="132" t="str">
        <x:v>EPSG:4326 resmi GeoJSON sorgusu</x:v>
      </x:c>
    </x:row>
    <x:row r="10">
      <x:c r="A10" s="193" t="str">
        <x:v>TATUS Katman Referansları</x:v>
      </x:c>
    </x:row>
    <x:row r="11">
      <x:c r="A11" s="132" t="str">
        <x:v>Baraj Gözlem İstasyonları</x:v>
      </x:c>
      <x:c r="B11" s="132" t="str">
        <x:v>https://cbs1.tarimorman.gov.tr/server/rest/services/TATUS/FeatureServer/7</x:v>
      </x:c>
      <x:c r="C11" s="132" t="str">
        <x:v>Point</x:v>
      </x:c>
    </x:row>
    <x:row r="12">
      <x:c r="A12" s="132" t="str">
        <x:v>Nehir</x:v>
      </x:c>
      <x:c r="B12" s="132" t="str">
        <x:v>https://cbs1.tarimorman.gov.tr/server/rest/services/TATUS/FeatureServer/8</x:v>
      </x:c>
      <x:c r="C12" s="132" t="str">
        <x:v>Polyline / LineString</x:v>
      </x:c>
    </x:row>
    <x:row r="13">
      <x:c r="A13" s="132" t="str">
        <x:v>Su Toplama Alanı</x:v>
      </x:c>
      <x:c r="B13" s="132" t="str">
        <x:v>https://cbs1.tarimorman.gov.tr/server/rest/services/TATUS/FeatureServer/9</x:v>
      </x:c>
      <x:c r="C13" s="132" t="str">
        <x:v>Polygon</x:v>
      </x:c>
    </x:row>
    <x:row r="14">
      <x:c r="A14" s="132" t="str">
        <x:v>Havza Sınırları</x:v>
      </x:c>
      <x:c r="B14" s="132" t="str">
        <x:v>https://cbs1.tarimorman.gov.tr/server/rest/services/TATUS/FeatureServer/11</x:v>
      </x:c>
      <x:c r="C14" s="132" t="str">
        <x:v>Polygon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0" hidden="0" customWidth="1"/>
    <x:col min="4" max="4" width="14" hidden="0" customWidth="1"/>
    <x:col min="5" max="5" width="14" hidden="0" customWidth="1"/>
    <x:col min="6" max="6" width="18" hidden="0" customWidth="1"/>
    <x:col min="7" max="7" width="12" hidden="0" customWidth="1"/>
    <x:col min="8" max="8" width="28" hidden="0" customWidth="1"/>
  </x:cols>
  <x:sheetData>
    <x:row r="1">
      <x:c r="A1" s="195" t="str">
        <x:v>v3 — TATUS Baraj Gözlem İstasyonu ile Tamamlanan Eksik HES Koordinatları</x:v>
      </x:c>
      <x:c r="B1" s="195"/>
      <x:c r="C1" s="195"/>
      <x:c r="D1" s="195"/>
      <x:c r="E1" s="195"/>
      <x:c r="F1" s="195"/>
      <x:c r="G1" s="195"/>
      <x:c r="H1" s="195"/>
    </x:row>
    <x:row r="3">
      <x:c r="A3" s="171" t="str">
        <x:v>HES</x:v>
      </x:c>
      <x:c r="B3" s="171" t="str">
        <x:v>Baraj/İstasyon</x:v>
      </x:c>
      <x:c r="C3" s="171" t="str">
        <x:v>Havza ID</x:v>
      </x:c>
      <x:c r="D3" s="171" t="str">
        <x:v>Enlem</x:v>
      </x:c>
      <x:c r="E3" s="171" t="str">
        <x:v>Boylam</x:v>
      </x:c>
      <x:c r="F3" s="171" t="str">
        <x:v>Eşleşme</x:v>
      </x:c>
      <x:c r="G3" s="171" t="str">
        <x:v>Nokta Sayısı</x:v>
      </x:c>
      <x:c r="H3" s="171" t="str">
        <x:v>Kaynak</x:v>
      </x:c>
    </x:row>
    <x:row r="4">
      <x:c r="A4" t="str">
        <x:v>BAHÇELİK HES</x:v>
      </x:c>
      <x:c r="B4" t="str">
        <x:v>BAHÇELİK</x:v>
      </x:c>
      <x:c r="C4" t="n">
        <x:v>18</x:v>
      </x:c>
      <x:c r="D4" s="196" t="n">
        <x:v>38.67639</x:v>
      </x:c>
      <x:c r="E4" s="196" t="n">
        <x:v>36.29083</x:v>
      </x:c>
      <x:c r="F4" t="str">
        <x:v>exact</x:v>
      </x:c>
      <x:c r="G4" t="n">
        <x:v>1</x:v>
      </x:c>
      <x:c r="H4" t="str">
        <x:v>TATUS FeatureServer/7</x:v>
      </x:c>
    </x:row>
    <x:row r="5">
      <x:c r="A5" t="str">
        <x:v>BALKUSAN HES</x:v>
      </x:c>
      <x:c r="B5" t="str">
        <x:v>BALKUSAN</x:v>
      </x:c>
      <x:c r="C5" t="n">
        <x:v>17</x:v>
      </x:c>
      <x:c r="D5" s="196" t="n">
        <x:v>36.70389</x:v>
      </x:c>
      <x:c r="E5" s="196" t="n">
        <x:v>32.96389</x:v>
      </x:c>
      <x:c r="F5" t="str">
        <x:v>exact</x:v>
      </x:c>
      <x:c r="G5" t="n">
        <x:v>1</x:v>
      </x:c>
      <x:c r="H5" t="str">
        <x:v>TATUS FeatureServer/7</x:v>
      </x:c>
    </x:row>
    <x:row r="6">
      <x:c r="A6" t="str">
        <x:v>ÇAMLIGÖZE HES</x:v>
      </x:c>
      <x:c r="B6" t="str">
        <x:v>ÇAMLIGÖZE</x:v>
      </x:c>
      <x:c r="C6" t="n">
        <x:v>14</x:v>
      </x:c>
      <x:c r="D6" s="196" t="n">
        <x:v>40.22917</x:v>
      </x:c>
      <x:c r="E6" s="196" t="n">
        <x:v>38.07583</x:v>
      </x:c>
      <x:c r="F6" t="str">
        <x:v>exact</x:v>
      </x:c>
      <x:c r="G6" t="n">
        <x:v>1</x:v>
      </x:c>
      <x:c r="H6" t="str">
        <x:v>TATUS FeatureServer/7</x:v>
      </x:c>
    </x:row>
    <x:row r="7">
      <x:c r="A7" t="str">
        <x:v>ÇEKEREK SÜREYYABEY HES</x:v>
      </x:c>
      <x:c r="B7" t="str">
        <x:v>ÇEKEREK</x:v>
      </x:c>
      <x:c r="C7" t="n">
        <x:v>14</x:v>
      </x:c>
      <x:c r="D7" s="196" t="n">
        <x:v>40.04222</x:v>
      </x:c>
      <x:c r="E7" s="196" t="n">
        <x:v>35.53778</x:v>
      </x:c>
      <x:c r="F7" t="str">
        <x:v>controlled_alias</x:v>
      </x:c>
      <x:c r="G7" t="n">
        <x:v>1</x:v>
      </x:c>
      <x:c r="H7" t="str">
        <x:v>TATUS FeatureServer/7</x:v>
      </x:c>
    </x:row>
    <x:row r="8">
      <x:c r="A8" t="str">
        <x:v>ÇERMİKLER HES</x:v>
      </x:c>
      <x:c r="B8" t="str">
        <x:v>ÇERMİKLER</x:v>
      </x:c>
      <x:c r="C8" t="n">
        <x:v>15</x:v>
      </x:c>
      <x:c r="D8" s="196" t="n">
        <x:v>39.29711</x:v>
      </x:c>
      <x:c r="E8" s="196" t="n">
        <x:v>36.37848</x:v>
      </x:c>
      <x:c r="F8" t="str">
        <x:v>exact</x:v>
      </x:c>
      <x:c r="G8" t="n">
        <x:v>1</x:v>
      </x:c>
      <x:c r="H8" t="str">
        <x:v>TATUS FeatureServer/7</x:v>
      </x:c>
    </x:row>
    <x:row r="9">
      <x:c r="A9" t="str">
        <x:v>GÜMÜŞÖREN HES</x:v>
      </x:c>
      <x:c r="B9" t="str">
        <x:v>GÜMÜŞÖREN</x:v>
      </x:c>
      <x:c r="C9" t="n">
        <x:v>18</x:v>
      </x:c>
      <x:c r="D9" s="196" t="n">
        <x:v>38.25815</x:v>
      </x:c>
      <x:c r="E9" s="196" t="n">
        <x:v>35.62442</x:v>
      </x:c>
      <x:c r="F9" t="str">
        <x:v>exact</x:v>
      </x:c>
      <x:c r="G9" t="n">
        <x:v>1</x:v>
      </x:c>
      <x:c r="H9" t="str">
        <x:v>TATUS FeatureServer/7</x:v>
      </x:c>
    </x:row>
    <x:row r="10">
      <x:c r="A10" t="str">
        <x:v>HASANLAR HES</x:v>
      </x:c>
      <x:c r="B10" t="str">
        <x:v>HASANLAR</x:v>
      </x:c>
      <x:c r="C10" t="n">
        <x:v>13</x:v>
      </x:c>
      <x:c r="D10" s="196" t="n">
        <x:v>40.91051</x:v>
      </x:c>
      <x:c r="E10" s="196" t="n">
        <x:v>31.27641</x:v>
      </x:c>
      <x:c r="F10" t="str">
        <x:v>exact</x:v>
      </x:c>
      <x:c r="G10" t="n">
        <x:v>1</x:v>
      </x:c>
      <x:c r="H10" t="str">
        <x:v>TATUS FeatureServer/7</x:v>
      </x:c>
    </x:row>
    <x:row r="11">
      <x:c r="A11" t="str">
        <x:v>HOŞAP HES</x:v>
      </x:c>
      <x:c r="B11" t="str">
        <x:v>ZERNEK</x:v>
      </x:c>
      <x:c r="C11" t="n">
        <x:v>25</x:v>
      </x:c>
      <x:c r="D11" s="196" t="n">
        <x:v>38.35548</x:v>
      </x:c>
      <x:c r="E11" s="196" t="n">
        <x:v>43.65705</x:v>
      </x:c>
      <x:c r="F11" t="str">
        <x:v>reservoir_exact</x:v>
      </x:c>
      <x:c r="G11" t="n">
        <x:v>1</x:v>
      </x:c>
      <x:c r="H11" t="str">
        <x:v>TATUS FeatureServer/7</x:v>
      </x:c>
    </x:row>
    <x:row r="12">
      <x:c r="A12" t="str">
        <x:v>KARAMENDERES HES</x:v>
      </x:c>
      <x:c r="B12" t="str">
        <x:v>BAYRAMİÇ</x:v>
      </x:c>
      <x:c r="C12" t="n">
        <x:v>4</x:v>
      </x:c>
      <x:c r="D12" s="196" t="n">
        <x:v>39.82303</x:v>
      </x:c>
      <x:c r="E12" s="196" t="n">
        <x:v>26.66721</x:v>
      </x:c>
      <x:c r="F12" t="str">
        <x:v>reservoir_exact</x:v>
      </x:c>
      <x:c r="G12" t="n">
        <x:v>1</x:v>
      </x:c>
      <x:c r="H12" t="str">
        <x:v>TATUS FeatureServer/7</x:v>
      </x:c>
    </x:row>
    <x:row r="13">
      <x:c r="A13" t="str">
        <x:v>SUŞEHRİ HES</x:v>
      </x:c>
      <x:c r="B13" t="str">
        <x:v>GÖLOVA</x:v>
      </x:c>
      <x:c r="C13" t="n">
        <x:v>14</x:v>
      </x:c>
      <x:c r="D13" s="196" t="n">
        <x:v>40.04472</x:v>
      </x:c>
      <x:c r="E13" s="196" t="n">
        <x:v>38.62222</x:v>
      </x:c>
      <x:c r="F13" t="str">
        <x:v>reservoir_exact</x:v>
      </x:c>
      <x:c r="G13" t="n">
        <x:v>1</x:v>
      </x:c>
      <x:c r="H13" t="str">
        <x:v>TATUS FeatureServer/7</x:v>
      </x:c>
    </x:row>
    <x:row r="14">
      <x:c r="A14" t="str">
        <x:v>YAMAÇ HES</x:v>
      </x:c>
      <x:c r="B14" t="str">
        <x:v>MEHMETLİ ( KESİKSUYU )</x:v>
      </x:c>
      <x:c r="C14" t="n">
        <x:v>20</x:v>
      </x:c>
      <x:c r="D14" s="196" t="n">
        <x:v>37.5073</x:v>
      </x:c>
      <x:c r="E14" s="196" t="n">
        <x:v>36.02193</x:v>
      </x:c>
      <x:c r="F14" t="str">
        <x:v>reservoir_exact</x:v>
      </x:c>
      <x:c r="G14" t="n">
        <x:v>1</x:v>
      </x:c>
      <x:c r="H14" t="str">
        <x:v>TATUS FeatureServer/7</x:v>
      </x:c>
    </x:row>
  </x:sheetData>
  <x:mergeCells>
    <x:mergeCell ref="A1:H1"/>
  </x:mergeCells>
  <x:pageMargins left="0.7" right="0.7" top="0.75" bottom="0.75" header="0.3" footer="0.3"/>
</x:worksheet>
</file>
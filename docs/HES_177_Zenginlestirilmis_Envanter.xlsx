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ffb9be239784ec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zet" sheetId="1" r:id="R86a810332fac4159"/>
    <x:sheet xmlns:r="http://schemas.openxmlformats.org/officeDocument/2006/relationships" name="HES_177" sheetId="2" r:id="Rf3d5817bc8ba4c22"/>
    <x:sheet xmlns:r="http://schemas.openxmlformats.org/officeDocument/2006/relationships" name="Havza_Ozeti" sheetId="3" r:id="R01dc5731e8b3499b"/>
    <x:sheet xmlns:r="http://schemas.openxmlformats.org/officeDocument/2006/relationships" name="Havza_Poligonlari" sheetId="4" r:id="R9714df6fa66e4934"/>
    <x:sheet xmlns:r="http://schemas.openxmlformats.org/officeDocument/2006/relationships" name="Kaynaklar" sheetId="5" r:id="R4f85e1102199478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0"/>
    <x:numFmt numFmtId="201" formatCode="0.000000"/>
    <x:numFmt numFmtId="202" formatCode="0.00"/>
    <x:numFmt numFmtId="203" formatCode="dd.mm.yyyy hh:mm"/>
    <x:numFmt numFmtId="204" formatCode="#,##0.00"/>
  </x:numFmts>
  <x:fonts count="9">
    <x:font>
      <x:sz val="11"/>
      <x:name val="Carlito"/>
    </x:font>
    <x:font>
      <x:b/>
      <x:sz val="16"/>
      <x:color rgb="FFFFFFFF"/>
      <x:name val="Carlito"/>
    </x:font>
    <x:font>
      <x:i/>
      <x:sz val="9"/>
      <x:color rgb="FF526B73"/>
      <x:name val="Carlito"/>
    </x:font>
    <x:font>
      <x:b/>
      <x:sz val="10"/>
      <x:color rgb="FFFFFFFF"/>
      <x:name val="Carlito"/>
    </x:font>
    <x:font>
      <x:sz val="9"/>
      <x:color rgb="FF16313A"/>
      <x:name val="Carlito"/>
    </x:font>
    <x:font>
      <x:sz val="10"/>
      <x:color rgb="FF16313A"/>
      <x:name val="Carlito"/>
    </x:font>
    <x:font>
      <x:b/>
      <x:sz val="9"/>
      <x:color rgb="FF16313A"/>
      <x:name val="Carlito"/>
    </x:font>
    <x:font>
      <x:b/>
      <x:sz val="11"/>
      <x:color rgb="FFFFFFFF"/>
      <x:name val="Carlito"/>
    </x:font>
    <x:font>
      <x:sz val="9"/>
      <x:color rgb="FF526B73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0F4C5C"/>
      </x:patternFill>
    </x:fill>
    <x:fill>
      <x:patternFill patternType="solid">
        <x:fgColor rgb="FFEAF4F6"/>
      </x:patternFill>
    </x:fill>
    <x:fill>
      <x:patternFill patternType="solid">
        <x:fgColor rgb="FF1F6F8B"/>
      </x:patternFill>
    </x:fill>
    <x:fill>
      <x:patternFill patternType="solid">
        <x:fgColor rgb="FFD7EEF3"/>
      </x:patternFill>
    </x:fill>
    <x:fill>
      <x:patternFill patternType="solid">
        <x:fgColor rgb="FFF7FBFC"/>
      </x:patternFill>
    </x:fill>
    <x:fill>
      <x:patternFill patternType="solid">
        <x:fgColor rgb="FF16697A"/>
      </x:patternFill>
    </x:fill>
  </x:fills>
  <x:borders count="18">
    <x:border/>
    <x:border/>
    <x:border>
      <x:left style="thin">
        <x:color rgb="FFB8D3D9"/>
      </x:left>
      <x:top style="thin">
        <x:color rgb="FFB8D3D9"/>
      </x:top>
    </x:border>
    <x:border>
      <x:top style="thin">
        <x:color rgb="FFB8D3D9"/>
      </x:top>
    </x:border>
    <x:border>
      <x:right style="thin">
        <x:color rgb="FFB8D3D9"/>
      </x:right>
      <x:top style="thin">
        <x:color rgb="FFB8D3D9"/>
      </x:top>
    </x:border>
    <x:border>
      <x:left style="thin">
        <x:color rgb="FFB8D3D9"/>
      </x:left>
    </x:border>
    <x:border>
      <x:right style="thin">
        <x:color rgb="FFB8D3D9"/>
      </x:right>
    </x:border>
    <x:border>
      <x:left style="thin">
        <x:color rgb="FFB8D3D9"/>
      </x:left>
      <x:bottom style="thin">
        <x:color rgb="FFB8D3D9"/>
      </x:bottom>
    </x:border>
    <x:border>
      <x:bottom style="thin">
        <x:color rgb="FFB8D3D9"/>
      </x:bottom>
    </x:border>
    <x:border>
      <x:right style="thin">
        <x:color rgb="FFB8D3D9"/>
      </x:right>
      <x:bottom style="thin">
        <x:color rgb="FFB8D3D9"/>
      </x:bottom>
    </x:border>
    <x:border>
      <x:left style="thin">
        <x:color rgb="FFB8D3D9"/>
      </x:left>
      <x:top style="thin">
        <x:color rgb="FFB8D3D9"/>
      </x:top>
    </x:border>
    <x:border>
      <x:top style="thin">
        <x:color rgb="FFB8D3D9"/>
      </x:top>
    </x:border>
    <x:border>
      <x:right style="thin">
        <x:color rgb="FFB8D3D9"/>
      </x:right>
      <x:top style="thin">
        <x:color rgb="FFB8D3D9"/>
      </x:top>
    </x:border>
    <x:border>
      <x:left style="thin">
        <x:color rgb="FFB8D3D9"/>
      </x:left>
    </x:border>
    <x:border>
      <x:right style="thin">
        <x:color rgb="FFB8D3D9"/>
      </x:right>
    </x:border>
    <x:border>
      <x:left style="thin">
        <x:color rgb="FFB8D3D9"/>
      </x:left>
      <x:bottom style="thin">
        <x:color rgb="FFB8D3D9"/>
      </x:bottom>
    </x:border>
    <x:border>
      <x:bottom style="thin">
        <x:color rgb="FFB8D3D9"/>
      </x:bottom>
    </x:border>
    <x:border>
      <x:right style="thin">
        <x:color rgb="FFB8D3D9"/>
      </x:right>
      <x:bottom style="thin">
        <x:color rgb="FFB8D3D9"/>
      </x:bottom>
    </x:border>
  </x:borders>
  <x:cellStyleXfs count="1">
    <x:xf numFmtId="0" fontId="0" fillId="0" borderId="0"/>
  </x:cellStyleXfs>
  <x:cellXfs count="127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vertical="center"/>
    </x:xf>
    <x:xf numFmtId="0" fontId="4" fillId="0" borderId="1" xfId="0" applyNumberFormat="1" applyFont="1" applyFill="1" applyBorder="1"/>
    <x:xf numFmtId="0" fontId="4" fillId="0" borderId="1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vertical="center" wrapText="1"/>
    </x:xf>
    <x:xf numFmtId="0" fontId="4" fillId="0" borderId="1" xfId="0" applyNumberFormat="1" applyFont="1" applyFill="1" applyBorder="1" applyAlignment="1">
      <x:alignment vertical="center" wrapText="1"/>
    </x:xf>
    <x:xf numFmtId="200" fontId="4" fillId="0" borderId="0" xfId="0" applyNumberFormat="1" applyFont="1" applyFill="1" applyBorder="1" applyAlignment="1">
      <x:alignment vertical="center" wrapText="1"/>
    </x:xf>
    <x:xf numFmtId="200" fontId="4" fillId="0" borderId="1" xfId="0" applyNumberFormat="1" applyFont="1" applyFill="1" applyBorder="1" applyAlignment="1">
      <x:alignment vertical="center" wrapText="1"/>
    </x:xf>
    <x:xf numFmtId="201" fontId="4" fillId="0" borderId="0" xfId="0" applyNumberFormat="1" applyFont="1" applyFill="1" applyBorder="1" applyAlignment="1">
      <x:alignment vertical="center" wrapText="1"/>
    </x:xf>
    <x:xf numFmtId="201" fontId="4" fillId="0" borderId="1" xfId="0" applyNumberFormat="1" applyFont="1" applyFill="1" applyBorder="1" applyAlignment="1">
      <x:alignment vertical="center" wrapText="1"/>
    </x:xf>
    <x:xf numFmtId="202" fontId="4" fillId="0" borderId="0" xfId="0" applyNumberFormat="1" applyFont="1" applyFill="1" applyBorder="1" applyAlignment="1">
      <x:alignment vertical="center" wrapText="1"/>
    </x:xf>
    <x:xf numFmtId="202" fontId="4" fillId="0" borderId="1" xfId="0" applyNumberFormat="1" applyFont="1" applyFill="1" applyBorder="1" applyAlignment="1">
      <x:alignment vertical="center" wrapText="1"/>
    </x:xf>
    <x:xf numFmtId="203" fontId="4" fillId="0" borderId="0" xfId="0" applyNumberFormat="1" applyFont="1" applyFill="1" applyBorder="1" applyAlignment="1">
      <x:alignment vertical="center" wrapText="1"/>
    </x:xf>
    <x:xf numFmtId="203" fontId="4" fillId="0" borderId="1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5" fillId="5" borderId="0" xfId="0" applyNumberFormat="1" applyFont="1" applyFill="1" applyBorder="1" applyAlignment="1">
      <x:alignment wrapText="1"/>
    </x:xf>
    <x:xf numFmtId="0" fontId="0" fillId="5" borderId="1" xfId="0" applyNumberFormat="1" applyFont="1" applyFill="1" applyBorder="1"/>
    <x:xf numFmtId="0" fontId="5" fillId="5" borderId="1" xfId="0" applyNumberFormat="1" applyFont="1" applyFill="1" applyBorder="1"/>
    <x:xf numFmtId="0" fontId="5" fillId="5" borderId="1" xfId="0" applyNumberFormat="1" applyFont="1" applyFill="1" applyBorder="1" applyAlignment="1">
      <x:alignment wrapText="1"/>
    </x:xf>
    <x:xf numFmtId="204" fontId="0" fillId="0" borderId="0" xfId="0" applyNumberFormat="1" applyFont="1" applyFill="1" applyBorder="1"/>
    <x:xf numFmtId="204" fontId="0" fillId="0" borderId="1" xfId="0" applyNumberFormat="1" applyFont="1" applyFill="1" applyBorder="1"/>
    <x:xf numFmtId="204" fontId="4" fillId="0" borderId="0" xfId="0" applyNumberFormat="1" applyFont="1" applyFill="1" applyBorder="1"/>
    <x:xf numFmtId="204" fontId="4" fillId="0" borderId="0" xfId="0" applyNumberFormat="1" applyFont="1" applyFill="1" applyBorder="1" applyAlignment="1">
      <x:alignment vertical="center"/>
    </x:xf>
    <x:xf numFmtId="204" fontId="4" fillId="0" borderId="1" xfId="0" applyNumberFormat="1" applyFont="1" applyFill="1" applyBorder="1"/>
    <x:xf numFmtId="204" fontId="4" fillId="0" borderId="1" xfId="0" applyNumberFormat="1" applyFont="1" applyFill="1" applyBorder="1" applyAlignment="1">
      <x:alignment vertical="center"/>
    </x:xf>
    <x:xf numFmtId="0" fontId="6" fillId="0" borderId="0" xfId="0" applyNumberFormat="1" applyFont="1" applyFill="1" applyBorder="1" applyAlignment="1">
      <x:alignment vertical="center"/>
    </x:xf>
    <x:xf numFmtId="0" fontId="6" fillId="0" borderId="1" xfId="0" applyNumberFormat="1" applyFont="1" applyFill="1" applyBorder="1" applyAlignment="1">
      <x:alignment vertical="center"/>
    </x:xf>
    <x:xf numFmtId="0" fontId="4" fillId="6" borderId="0" xfId="0" applyNumberFormat="1" applyFont="1" applyFill="1" applyBorder="1" applyAlignment="1">
      <x:alignment vertical="center"/>
    </x:xf>
    <x:xf numFmtId="204" fontId="4" fillId="6" borderId="0" xfId="0" applyNumberFormat="1" applyFont="1" applyFill="1" applyBorder="1" applyAlignment="1">
      <x:alignment vertical="center"/>
    </x:xf>
    <x:xf numFmtId="0" fontId="4" fillId="6" borderId="1" xfId="0" applyNumberFormat="1" applyFont="1" applyFill="1" applyBorder="1" applyAlignment="1">
      <x:alignment vertical="center"/>
    </x:xf>
    <x:xf numFmtId="204" fontId="4" fillId="6" borderId="1" xfId="0" applyNumberFormat="1" applyFont="1" applyFill="1" applyBorder="1" applyAlignment="1">
      <x:alignment vertical="center"/>
    </x:xf>
    <x:xf numFmtId="0" fontId="0" fillId="7" borderId="0" xfId="0" applyNumberFormat="1" applyFont="1" applyFill="1" applyBorder="1"/>
    <x:xf numFmtId="0" fontId="7" fillId="7" borderId="0" xfId="0" applyNumberFormat="1" applyFont="1" applyFill="1" applyBorder="1"/>
    <x:xf numFmtId="0" fontId="7" fillId="7" borderId="0" xfId="0" applyNumberFormat="1" applyFont="1" applyFill="1" applyBorder="1" applyAlignment="1">
      <x:alignment horizontal="left"/>
    </x:xf>
    <x:xf numFmtId="0" fontId="7" fillId="7" borderId="0" xfId="0" applyNumberFormat="1" applyFont="1" applyFill="1" applyBorder="1" applyAlignment="1">
      <x:alignment horizontal="left" vertical="center"/>
    </x:xf>
    <x:xf numFmtId="0" fontId="0" fillId="7" borderId="1" xfId="0" applyNumberFormat="1" applyFont="1" applyFill="1" applyBorder="1"/>
    <x:xf numFmtId="0" fontId="7" fillId="7" borderId="1" xfId="0" applyNumberFormat="1" applyFont="1" applyFill="1" applyBorder="1"/>
    <x:xf numFmtId="0" fontId="7" fillId="7" borderId="1" xfId="0" applyNumberFormat="1" applyFont="1" applyFill="1" applyBorder="1" applyAlignment="1">
      <x:alignment horizontal="left"/>
    </x:xf>
    <x:xf numFmtId="0" fontId="7" fillId="7" borderId="1" xfId="0" applyNumberFormat="1" applyFont="1" applyFill="1" applyBorder="1" applyAlignment="1">
      <x:alignment horizontal="left" vertical="center"/>
    </x:xf>
    <x:xf numFmtId="0" fontId="8" fillId="3" borderId="0" xfId="0" applyNumberFormat="1" applyFont="1" applyFill="1" applyBorder="1"/>
    <x:xf numFmtId="0" fontId="8" fillId="3" borderId="0" xfId="0" applyNumberFormat="1" applyFont="1" applyFill="1" applyBorder="1" applyAlignment="1">
      <x:alignment wrapText="1"/>
    </x:xf>
    <x:xf numFmtId="0" fontId="8" fillId="3" borderId="0" xfId="0" applyNumberFormat="1" applyFont="1" applyFill="1" applyBorder="1" applyAlignment="1">
      <x:alignment vertical="center" wrapText="1"/>
    </x:xf>
    <x:xf numFmtId="0" fontId="8" fillId="3" borderId="1" xfId="0" applyNumberFormat="1" applyFont="1" applyFill="1" applyBorder="1"/>
    <x:xf numFmtId="0" fontId="8" fillId="3" borderId="1" xfId="0" applyNumberFormat="1" applyFont="1" applyFill="1" applyBorder="1" applyAlignment="1">
      <x:alignment wrapText="1"/>
    </x:xf>
    <x:xf numFmtId="0" fontId="8" fillId="3" borderId="1" xfId="0" applyNumberFormat="1" applyFont="1" applyFill="1" applyBorder="1" applyAlignment="1">
      <x:alignment vertical="center" wrapText="1"/>
    </x:xf>
    <x:xf numFmtId="0" fontId="3" fillId="4" borderId="2" xfId="0" applyNumberFormat="1" applyFont="1" applyFill="1" applyBorder="1" applyAlignment="1">
      <x:alignment horizontal="center" vertical="center" wrapText="1"/>
    </x:xf>
    <x:xf numFmtId="0" fontId="3" fillId="4" borderId="3" xfId="0" applyNumberFormat="1" applyFont="1" applyFill="1" applyBorder="1" applyAlignment="1">
      <x:alignment horizontal="center" vertical="center" wrapText="1"/>
    </x:xf>
    <x:xf numFmtId="0" fontId="0" fillId="0" borderId="3" xfId="0" applyNumberFormat="1" applyFont="1" applyFill="1" applyBorder="1"/>
    <x:xf numFmtId="0" fontId="7" fillId="7" borderId="3" xfId="0" applyNumberFormat="1" applyFont="1" applyFill="1" applyBorder="1" applyAlignment="1">
      <x:alignment horizontal="left" vertical="center"/>
    </x:xf>
    <x:xf numFmtId="0" fontId="7" fillId="7" borderId="4" xfId="0" applyNumberFormat="1" applyFont="1" applyFill="1" applyBorder="1" applyAlignment="1">
      <x:alignment horizontal="left" vertical="center"/>
    </x:xf>
    <x:xf numFmtId="0" fontId="6" fillId="0" borderId="5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/>
    <x:xf numFmtId="0" fontId="8" fillId="3" borderId="6" xfId="0" applyNumberFormat="1" applyFont="1" applyFill="1" applyBorder="1" applyAlignment="1">
      <x:alignment vertical="center" wrapText="1"/>
    </x:xf>
    <x:xf numFmtId="0" fontId="0" fillId="0" borderId="6" xfId="0" applyNumberFormat="1" applyFont="1" applyFill="1" applyBorder="1"/>
    <x:xf numFmtId="0" fontId="6" fillId="0" borderId="7" xfId="0" applyNumberFormat="1" applyFont="1" applyFill="1" applyBorder="1" applyAlignment="1">
      <x:alignment vertical="center"/>
    </x:xf>
    <x:xf numFmtId="0" fontId="4" fillId="6" borderId="8" xfId="0" applyNumberFormat="1" applyFont="1" applyFill="1" applyBorder="1" applyAlignment="1">
      <x:alignment vertical="center"/>
    </x:xf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3" fillId="4" borderId="10" xfId="0" applyNumberFormat="1" applyFont="1" applyFill="1" applyBorder="1" applyAlignment="1">
      <x:alignment horizontal="center" vertical="center" wrapText="1"/>
    </x:xf>
    <x:xf numFmtId="0" fontId="3" fillId="4" borderId="11" xfId="0" applyNumberFormat="1" applyFont="1" applyFill="1" applyBorder="1" applyAlignment="1">
      <x:alignment horizontal="center" vertical="center" wrapText="1"/>
    </x:xf>
    <x:xf numFmtId="0" fontId="0" fillId="0" borderId="11" xfId="0" applyNumberFormat="1" applyFont="1" applyFill="1" applyBorder="1"/>
    <x:xf numFmtId="0" fontId="7" fillId="7" borderId="11" xfId="0" applyNumberFormat="1" applyFont="1" applyFill="1" applyBorder="1" applyAlignment="1">
      <x:alignment horizontal="left" vertical="center"/>
    </x:xf>
    <x:xf numFmtId="0" fontId="7" fillId="7" borderId="12" xfId="0" applyNumberFormat="1" applyFont="1" applyFill="1" applyBorder="1" applyAlignment="1">
      <x:alignment horizontal="left" vertical="center"/>
    </x:xf>
    <x:xf numFmtId="0" fontId="6" fillId="0" borderId="13" xfId="0" applyNumberFormat="1" applyFont="1" applyFill="1" applyBorder="1" applyAlignment="1">
      <x:alignment vertical="center"/>
    </x:xf>
    <x:xf numFmtId="0" fontId="8" fillId="3" borderId="14" xfId="0" applyNumberFormat="1" applyFont="1" applyFill="1" applyBorder="1" applyAlignment="1">
      <x:alignment vertical="center" wrapText="1"/>
    </x:xf>
    <x:xf numFmtId="0" fontId="0" fillId="0" borderId="14" xfId="0" applyNumberFormat="1" applyFont="1" applyFill="1" applyBorder="1"/>
    <x:xf numFmtId="0" fontId="6" fillId="0" borderId="15" xfId="0" applyNumberFormat="1" applyFont="1" applyFill="1" applyBorder="1" applyAlignment="1">
      <x:alignment vertical="center"/>
    </x:xf>
    <x:xf numFmtId="0" fontId="4" fillId="6" borderId="16" xfId="0" applyNumberFormat="1" applyFont="1" applyFill="1" applyBorder="1" applyAlignment="1">
      <x:alignment vertical="center"/>
    </x:xf>
    <x:xf numFmtId="0" fontId="0" fillId="0" borderId="16" xfId="0" applyNumberFormat="1" applyFont="1" applyFill="1" applyBorder="1"/>
    <x:xf numFmtId="0" fontId="0" fillId="0" borderId="17" xfId="0" applyNumberFormat="1" applyFont="1" applyFill="1" applyBorder="1"/>
    <x:xf numFmtId="0" fontId="3" fillId="4" borderId="4" xfId="0" applyNumberFormat="1" applyFont="1" applyFill="1" applyBorder="1" applyAlignment="1">
      <x:alignment horizontal="center" vertical="center" wrapText="1"/>
    </x:xf>
    <x:xf numFmtId="200" fontId="4" fillId="0" borderId="5" xfId="0" applyNumberFormat="1" applyFont="1" applyFill="1" applyBorder="1" applyAlignment="1">
      <x:alignment vertical="center" wrapText="1"/>
    </x:xf>
    <x:xf numFmtId="0" fontId="4" fillId="0" borderId="6" xfId="0" applyNumberFormat="1" applyFont="1" applyFill="1" applyBorder="1" applyAlignment="1">
      <x:alignment vertical="center" wrapText="1"/>
    </x:xf>
    <x:xf numFmtId="200" fontId="4" fillId="0" borderId="7" xfId="0" applyNumberFormat="1" applyFont="1" applyFill="1" applyBorder="1" applyAlignment="1">
      <x:alignment vertical="center" wrapText="1"/>
    </x:xf>
    <x:xf numFmtId="0" fontId="4" fillId="0" borderId="8" xfId="0" applyNumberFormat="1" applyFont="1" applyFill="1" applyBorder="1" applyAlignment="1">
      <x:alignment vertical="center" wrapText="1"/>
    </x:xf>
    <x:xf numFmtId="200" fontId="4" fillId="0" borderId="8" xfId="0" applyNumberFormat="1" applyFont="1" applyFill="1" applyBorder="1" applyAlignment="1">
      <x:alignment vertical="center" wrapText="1"/>
    </x:xf>
    <x:xf numFmtId="201" fontId="4" fillId="0" borderId="8" xfId="0" applyNumberFormat="1" applyFont="1" applyFill="1" applyBorder="1" applyAlignment="1">
      <x:alignment vertical="center" wrapText="1"/>
    </x:xf>
    <x:xf numFmtId="202" fontId="4" fillId="0" borderId="8" xfId="0" applyNumberFormat="1" applyFont="1" applyFill="1" applyBorder="1" applyAlignment="1">
      <x:alignment vertical="center" wrapText="1"/>
    </x:xf>
    <x:xf numFmtId="203" fontId="4" fillId="0" borderId="8" xfId="0" applyNumberFormat="1" applyFont="1" applyFill="1" applyBorder="1" applyAlignment="1">
      <x:alignment vertical="center" wrapText="1"/>
    </x:xf>
    <x:xf numFmtId="0" fontId="4" fillId="0" borderId="9" xfId="0" applyNumberFormat="1" applyFont="1" applyFill="1" applyBorder="1" applyAlignment="1">
      <x:alignment vertical="center" wrapText="1"/>
    </x:xf>
    <x:xf numFmtId="0" fontId="3" fillId="4" borderId="12" xfId="0" applyNumberFormat="1" applyFont="1" applyFill="1" applyBorder="1" applyAlignment="1">
      <x:alignment horizontal="center" vertical="center" wrapText="1"/>
    </x:xf>
    <x:xf numFmtId="200" fontId="4" fillId="0" borderId="13" xfId="0" applyNumberFormat="1" applyFont="1" applyFill="1" applyBorder="1" applyAlignment="1">
      <x:alignment vertical="center" wrapText="1"/>
    </x:xf>
    <x:xf numFmtId="0" fontId="4" fillId="0" borderId="14" xfId="0" applyNumberFormat="1" applyFont="1" applyFill="1" applyBorder="1" applyAlignment="1">
      <x:alignment vertical="center" wrapText="1"/>
    </x:xf>
    <x:xf numFmtId="200" fontId="4" fillId="0" borderId="15" xfId="0" applyNumberFormat="1" applyFont="1" applyFill="1" applyBorder="1" applyAlignment="1">
      <x:alignment vertical="center" wrapText="1"/>
    </x:xf>
    <x:xf numFmtId="0" fontId="4" fillId="0" borderId="16" xfId="0" applyNumberFormat="1" applyFont="1" applyFill="1" applyBorder="1" applyAlignment="1">
      <x:alignment vertical="center" wrapText="1"/>
    </x:xf>
    <x:xf numFmtId="200" fontId="4" fillId="0" borderId="16" xfId="0" applyNumberFormat="1" applyFont="1" applyFill="1" applyBorder="1" applyAlignment="1">
      <x:alignment vertical="center" wrapText="1"/>
    </x:xf>
    <x:xf numFmtId="201" fontId="4" fillId="0" borderId="16" xfId="0" applyNumberFormat="1" applyFont="1" applyFill="1" applyBorder="1" applyAlignment="1">
      <x:alignment vertical="center" wrapText="1"/>
    </x:xf>
    <x:xf numFmtId="202" fontId="4" fillId="0" borderId="16" xfId="0" applyNumberFormat="1" applyFont="1" applyFill="1" applyBorder="1" applyAlignment="1">
      <x:alignment vertical="center" wrapText="1"/>
    </x:xf>
    <x:xf numFmtId="203" fontId="4" fillId="0" borderId="16" xfId="0" applyNumberFormat="1" applyFont="1" applyFill="1" applyBorder="1" applyAlignment="1">
      <x:alignment vertical="center" wrapText="1"/>
    </x:xf>
    <x:xf numFmtId="0" fontId="4" fillId="0" borderId="17" xfId="0" applyNumberFormat="1" applyFont="1" applyFill="1" applyBorder="1" applyAlignment="1">
      <x:alignment vertical="center" wrapText="1"/>
    </x:xf>
    <x:xf numFmtId="0" fontId="4" fillId="0" borderId="5" xfId="0" applyNumberFormat="1" applyFont="1" applyFill="1" applyBorder="1" applyAlignment="1">
      <x:alignment vertical="center"/>
    </x:xf>
    <x:xf numFmtId="0" fontId="4" fillId="0" borderId="7" xfId="0" applyNumberFormat="1" applyFont="1" applyFill="1" applyBorder="1" applyAlignment="1">
      <x:alignment vertical="center"/>
    </x:xf>
    <x:xf numFmtId="0" fontId="4" fillId="0" borderId="8" xfId="0" applyNumberFormat="1" applyFont="1" applyFill="1" applyBorder="1" applyAlignment="1">
      <x:alignment vertical="center"/>
    </x:xf>
    <x:xf numFmtId="204" fontId="4" fillId="0" borderId="8" xfId="0" applyNumberFormat="1" applyFont="1" applyFill="1" applyBorder="1" applyAlignment="1">
      <x:alignment vertical="center"/>
    </x:xf>
    <x:xf numFmtId="0" fontId="4" fillId="0" borderId="13" xfId="0" applyNumberFormat="1" applyFont="1" applyFill="1" applyBorder="1" applyAlignment="1">
      <x:alignment vertical="center"/>
    </x:xf>
    <x:xf numFmtId="0" fontId="4" fillId="0" borderId="15" xfId="0" applyNumberFormat="1" applyFont="1" applyFill="1" applyBorder="1" applyAlignment="1">
      <x:alignment vertical="center"/>
    </x:xf>
    <x:xf numFmtId="0" fontId="4" fillId="0" borderId="16" xfId="0" applyNumberFormat="1" applyFont="1" applyFill="1" applyBorder="1" applyAlignment="1">
      <x:alignment vertical="center"/>
    </x:xf>
    <x:xf numFmtId="204" fontId="4" fillId="0" borderId="16" xfId="0" applyNumberFormat="1" applyFont="1" applyFill="1" applyBorder="1" applyAlignment="1">
      <x:alignment vertical="center"/>
    </x:xf>
  </x:cellXfs>
  <x:cellStyles count="1">
    <x:cellStyle name="Normal" xfId="0"/>
  </x:cellStyles>
  <x:dxfs count="3">
    <x:dxf>
      <x:font>
        <x:b/>
        <x:color rgb="FF276221"/>
      </x:font>
      <x:fill>
        <x:patternFill patternType="solid">
          <x:bgColor rgb="FFD9EAD3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990000"/>
      </x:font>
      <x:fill>
        <x:patternFill patternType="solid">
          <x:bgColor rgb="FFF4CC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12487d5ef944ccc" /><Relationship Type="http://schemas.openxmlformats.org/officeDocument/2006/relationships/theme" Target="/xl/theme/theme1.xml" Id="Rbc29924d1b1b4883" /><Relationship Type="http://schemas.openxmlformats.org/officeDocument/2006/relationships/sharedStrings" Target="/xl/sharedStrings.xml" Id="R7d9d8b5ff5654783" /><Relationship Type="http://schemas.openxmlformats.org/officeDocument/2006/relationships/worksheet" Target="/xl/worksheets/sheet1.xml" Id="R86a810332fac4159" /><Relationship Type="http://schemas.openxmlformats.org/officeDocument/2006/relationships/worksheet" Target="/xl/worksheets/sheet2.xml" Id="Rf3d5817bc8ba4c22" /><Relationship Type="http://schemas.openxmlformats.org/officeDocument/2006/relationships/worksheet" Target="/xl/worksheets/sheet3.xml" Id="R01dc5731e8b3499b" /><Relationship Type="http://schemas.openxmlformats.org/officeDocument/2006/relationships/worksheet" Target="/xl/worksheets/sheet4.xml" Id="R9714df6fa66e4934" /><Relationship Type="http://schemas.openxmlformats.org/officeDocument/2006/relationships/worksheet" Target="/xl/worksheets/sheet5.xml" Id="R4f85e11021994785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994cc7e7895c46e6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Havza Bazında HES Sayısı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HES Sayısı</c:v>
          </c:tx>
          <c:cat>
            <c:strRef>
              <c:f>'Havza_Ozeti'!$B$4:$B$28</c:f>
              <c:strCache>
                <c:ptCount val="0"/>
              </c:strCache>
            </c:strRef>
          </c:cat>
          <c:val>
            <c:numRef>
              <c:f>'Havza_Ozeti'!$C$4:$C$28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9</xdr:col>
      <xdr:colOff>0</xdr:colOff>
      <xdr:row>2</xdr:row>
      <xdr:rowOff>0</xdr:rowOff>
    </xdr:from>
    <xdr:to>
      <xdr:col>17</xdr:col>
      <xdr:colOff>0</xdr:colOff>
      <xdr:row>20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994cc7e7895c46e6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HES177Table" displayName="HES177Table" ref="A3:AA180" headerRowCount="1" totalsRowCount="0" totalsRowShown="0">
  <x:tableColumns count="27">
    <x:tableColumn id="1" name="Sıra"/>
    <x:tableColumn id="2" name="HES"/>
    <x:tableColumn id="3" name="Havza (Kaynak)"/>
    <x:tableColumn id="4" name="Havza (TATUS)"/>
    <x:tableColumn id="5" name="Havza ID"/>
    <x:tableColumn id="6" name="Havza Poligon GeoJSON URL"/>
    <x:tableColumn id="7" name="Baraj / Rezervuar Eşleşmesi"/>
    <x:tableColumn id="8" name="Bulunduğu İl"/>
    <x:tableColumn id="9" name="Enlem"/>
    <x:tableColumn id="10" name="Boylam"/>
    <x:tableColumn id="11" name="Maksimum Su Seviyesi (m)"/>
    <x:tableColumn id="12" name="Minimum Su Seviyesi (m)"/>
    <x:tableColumn id="13" name="Kaskat Santrali"/>
    <x:tableColumn id="14" name="Kurulu Güç (MW)"/>
    <x:tableColumn id="15" name="Ünite Debisi (m³/sn)"/>
    <x:tableColumn id="16" name="Maksimum Hacim (hm³)"/>
    <x:tableColumn id="17" name="Minimum Hacim (hm³)"/>
    <x:tableColumn id="18" name="Aktif Hacim (hm³)"/>
    <x:tableColumn id="19" name="Suyun Enerji Karşılığı (MWh)"/>
    <x:tableColumn id="20" name="EPİAŞ Veri Tarihi"/>
    <x:tableColumn id="21" name="Eşleşme Yöntemi"/>
    <x:tableColumn id="22" name="Veri Kalitesi"/>
    <x:tableColumn id="23" name="İl Kaynağı"/>
    <x:tableColumn id="24" name="Kurulu Güç Kaynağı"/>
    <x:tableColumn id="25" name="Konum Kaynağı"/>
    <x:tableColumn id="26" name="Kaskat Kaynak Değeri"/>
    <x:tableColumn id="27" name="Not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HavzaOzetTable" displayName="HavzaOzetTable" ref="A3:H28" headerRowCount="1" totalsRowCount="0" totalsRowShown="0">
  <x:tableColumns count="8">
    <x:tableColumn id="1" name="Havza ID"/>
    <x:tableColumn id="2" name="Havza (TATUS)"/>
    <x:tableColumn id="3" name="HES Sayısı"/>
    <x:tableColumn id="4" name="Kurulu Güç Toplamı (MW)"/>
    <x:tableColumn id="5" name="Ünite Debisi Bulunan"/>
    <x:tableColumn id="6" name="Koordinatlı HES"/>
    <x:tableColumn id="7" name="Aktif Hacim Bulunan"/>
    <x:tableColumn id="8" name="GeoJSON Poligon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HavzaPoligonTable" displayName="HavzaPoligonTable" ref="A3:E28" headerRowCount="1" totalsRowCount="0" totalsRowShown="0">
  <x:tableColumns count="5">
    <x:tableColumn id="1" name="Havza ID"/>
    <x:tableColumn id="2" name="Havza Adı"/>
    <x:tableColumn id="3" name="Geometri"/>
    <x:tableColumn id="4" name="EPSG"/>
    <x:tableColumn id="5" name="GeoJSON Sorgu URL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KaynakTable" displayName="KaynakTable" ref="A3:E58" headerRowCount="1" totalsRowCount="0" totalsRowShown="0">
  <x:tableColumns count="5">
    <x:tableColumn id="1" name="Tür"/>
    <x:tableColumn id="2" name="Kullanım"/>
    <x:tableColumn id="3" name="Kayıt/HES"/>
    <x:tableColumn id="4" name="Kaynak / URL"/>
    <x:tableColumn id="5" name="No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8af32f1672604c0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drawing" Target="/xl/drawings/drawing1.xml" Id="R85056bf924eb43bd" /><Relationship Type="http://schemas.openxmlformats.org/officeDocument/2006/relationships/table" Target="/xl/tables/table2.xml" Id="R01f5d053fcd544c6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aef96d2ee10144a0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92f174aeaa1c465e" /></Relationships>
</file>

<file path=xl/worksheets/sheet1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</x:cols>
  <x:sheetData>
    <x:row r="1" ht="30" customHeight="1">
      <x:c r="A1" s="5" t="str">
        <x:v>177 HES Envanteri — Analiz Özeti</x:v>
      </x:c>
      <x:c r="B1" s="5"/>
      <x:c r="C1" s="5"/>
      <x:c r="D1" s="5"/>
      <x:c r="E1" s="5"/>
      <x:c r="F1" s="5"/>
      <x:c r="G1" s="5"/>
      <x:c r="H1" s="5"/>
    </x:row>
    <x:row r="2" ht="42" customHeight="1">
      <x:c r="A2" s="44" t="str">
        <x:v>Kritik not: 177 santralin tamamında kurulu güç bulundu. Su göstergeleri 91 santral/baraj eşleşmesinde doğrulandı. 50 santralde doğrulanmış koordinat mevcut; kalan koordinatlar tahmin edilmedi. Havza poligonları resmi TATUS GeoJSON sorgularına bağlandı.</x:v>
      </x:c>
      <x:c r="B2" s="44"/>
      <x:c r="C2" s="44"/>
      <x:c r="D2" s="44"/>
      <x:c r="E2" s="44"/>
      <x:c r="F2" s="44"/>
      <x:c r="G2" s="44"/>
      <x:c r="H2" s="44"/>
    </x:row>
    <x:row r="4">
      <x:c r="A4" s="74" t="str">
        <x:v>Gösterge</x:v>
      </x:c>
      <x:c r="B4" s="75" t="str">
        <x:v>Değer</x:v>
      </x:c>
      <x:c r="C4" s="76"/>
      <x:c r="D4" s="77" t="str">
        <x:v>Kapsam / Yorum</x:v>
      </x:c>
      <x:c r="E4" s="77" t="str"/>
      <x:c r="F4" s="77" t="str"/>
      <x:c r="G4" s="77" t="str"/>
      <x:c r="H4" s="78" t="str"/>
    </x:row>
    <x:row r="5" ht="34" customHeight="1">
      <x:c r="A5" s="79" t="str">
        <x:v>Toplam HES</x:v>
      </x:c>
      <x:c r="B5" s="56" t="n">
        <x:f>COUNTA(HES_177!B4:B180)</x:f>
        <x:v>177</x:v>
      </x:c>
      <x:c r="C5" s="80"/>
      <x:c r="D5" s="70" t="str">
        <x:v>Su seviyesi: HES_LİSTESİ.xlsx içindeki 177 satırın maksimum/minimum işletme su seviyeleri esas alındı.</x:v>
      </x:c>
      <x:c r="E5" s="70"/>
      <x:c r="F5" s="70"/>
      <x:c r="G5" s="70"/>
      <x:c r="H5" s="81"/>
    </x:row>
    <x:row r="6">
      <x:c r="A6" s="79" t="str">
        <x:v>Kurulu güç bulunan</x:v>
      </x:c>
      <x:c r="B6" s="56" t="n">
        <x:f>COUNT(HES_177!N4:N180)</x:f>
        <x:v>177</x:v>
      </x:c>
      <x:c r="C6" s="80"/>
      <x:c r="D6" s="80"/>
      <x:c r="E6" s="80"/>
      <x:c r="F6" s="80"/>
      <x:c r="G6" s="80"/>
      <x:c r="H6" s="82"/>
    </x:row>
    <x:row r="7" ht="34" customHeight="1">
      <x:c r="A7" s="79" t="str">
        <x:v>Toplam kurulu güç (MW)</x:v>
      </x:c>
      <x:c r="B7" s="57" t="n">
        <x:f>SUM(HES_177!N4:N180)</x:f>
        <x:v>24516.504999999994</x:v>
      </x:c>
      <x:c r="C7" s="80"/>
      <x:c r="D7" s="70" t="str">
        <x:v>EPİAŞ zenginleştirme: Debi/Kurulu Güç, Hacim, Kot, Aktif Hacim ve Suyun Enerji Karşılığı dosyaları ad/kot/havza eşleşmesiyle birleştirildi.</x:v>
      </x:c>
      <x:c r="E7" s="70"/>
      <x:c r="F7" s="70"/>
      <x:c r="G7" s="70"/>
      <x:c r="H7" s="81"/>
    </x:row>
    <x:row r="8">
      <x:c r="A8" s="79" t="str">
        <x:v>İl bulunan</x:v>
      </x:c>
      <x:c r="B8" s="56" t="n">
        <x:f>COUNTA(HES_177!H4:H180)</x:f>
        <x:v>176</x:v>
      </x:c>
      <x:c r="C8" s="80"/>
      <x:c r="D8" s="80"/>
      <x:c r="E8" s="80"/>
      <x:c r="F8" s="80"/>
      <x:c r="G8" s="80"/>
      <x:c r="H8" s="82"/>
    </x:row>
    <x:row r="9">
      <x:c r="A9" s="79" t="str">
        <x:v>Koordinatı doğrulanmış</x:v>
      </x:c>
      <x:c r="B9" s="56" t="n">
        <x:f>COUNT(HES_177!I4:I180)</x:f>
        <x:v>50</x:v>
      </x:c>
      <x:c r="C9" s="80"/>
      <x:c r="D9" s="80"/>
      <x:c r="E9" s="80"/>
      <x:c r="F9" s="80"/>
      <x:c r="G9" s="80"/>
      <x:c r="H9" s="82"/>
    </x:row>
    <x:row r="10" ht="34" customHeight="1">
      <x:c r="A10" s="79" t="str">
        <x:v>EPİAŞ su verisi eşleşen</x:v>
      </x:c>
      <x:c r="B10" s="56" t="n">
        <x:f>COUNT(HES_177!O4:O180)</x:f>
        <x:v>91</x:v>
      </x:c>
      <x:c r="C10" s="80"/>
      <x:c r="D10" s="70" t="str">
        <x:v>Konum: TATUS/baraj koordinatları ve doğrulanabilen web kaynakları kullanıldı. Doğrulanamayan koordinatlar boş bırakıldı; yaklaşık nokta üretilmedi.</x:v>
      </x:c>
      <x:c r="E10" s="70"/>
      <x:c r="F10" s="70"/>
      <x:c r="G10" s="70"/>
      <x:c r="H10" s="81"/>
    </x:row>
    <x:row r="11">
      <x:c r="A11" s="79" t="str">
        <x:v>Ünite debisi bulunan</x:v>
      </x:c>
      <x:c r="B11" s="56" t="n">
        <x:f>COUNT(HES_177!O4:O180)</x:f>
        <x:v>91</x:v>
      </x:c>
      <x:c r="C11" s="80"/>
      <x:c r="D11" s="80"/>
      <x:c r="E11" s="80"/>
      <x:c r="F11" s="80"/>
      <x:c r="G11" s="80"/>
      <x:c r="H11" s="82"/>
    </x:row>
    <x:row r="12">
      <x:c r="A12" s="79" t="str">
        <x:v>Maks./Min. hacim bulunan</x:v>
      </x:c>
      <x:c r="B12" s="56" t="n">
        <x:f>COUNT(HES_177!P4:P180)</x:f>
        <x:v>91</x:v>
      </x:c>
      <x:c r="C12" s="80"/>
      <x:c r="D12" s="80"/>
      <x:c r="E12" s="80"/>
      <x:c r="F12" s="80"/>
      <x:c r="G12" s="80"/>
      <x:c r="H12" s="82"/>
    </x:row>
    <x:row r="13" ht="34" customHeight="1">
      <x:c r="A13" s="79" t="str">
        <x:v>Aktif hacim bulunan</x:v>
      </x:c>
      <x:c r="B13" s="56" t="n">
        <x:f>COUNT(HES_177!R4:R180)</x:f>
        <x:v>80</x:v>
      </x:c>
      <x:c r="C13" s="80"/>
      <x:c r="D13" s="70" t="str">
        <x:v>Havza poligonu: her satırda TATUS Havza Sınırları (FeatureServer/11) için doğrudan GeoJSON sorgu URL’si bulunur.</x:v>
      </x:c>
      <x:c r="E13" s="70"/>
      <x:c r="F13" s="70"/>
      <x:c r="G13" s="70"/>
      <x:c r="H13" s="81"/>
    </x:row>
    <x:row r="14">
      <x:c r="A14" s="79" t="str">
        <x:v>Su enerji karşılığı bulunan</x:v>
      </x:c>
      <x:c r="B14" s="56" t="n">
        <x:f>COUNT(HES_177!S4:S180)</x:f>
        <x:v>80</x:v>
      </x:c>
      <x:c r="C14" s="80"/>
      <x:c r="D14" s="80"/>
      <x:c r="E14" s="80"/>
      <x:c r="F14" s="80"/>
      <x:c r="G14" s="80"/>
      <x:c r="H14" s="82"/>
    </x:row>
    <x:row r="15">
      <x:c r="A15" s="79" t="str">
        <x:v>Kaskat santrali adı bulunan</x:v>
      </x:c>
      <x:c r="B15" s="56" t="n">
        <x:f>COUNTA(HES_177!M4:M180)</x:f>
        <x:v>71</x:v>
      </x:c>
      <x:c r="C15" s="80"/>
      <x:c r="D15" s="80"/>
      <x:c r="E15" s="80"/>
      <x:c r="F15" s="80"/>
      <x:c r="G15" s="80"/>
      <x:c r="H15" s="82"/>
    </x:row>
    <x:row r="16" ht="34" customHeight="1">
      <x:c r="A16" s="79" t="str">
        <x:v>Kalite A</x:v>
      </x:c>
      <x:c r="B16" s="56" t="n">
        <x:f>COUNTIF(HES_177!V4:V180,"A")</x:f>
        <x:v>46</x:v>
      </x:c>
      <x:c r="C16" s="80"/>
      <x:c r="D16" s="70" t="str">
        <x:v>Veri Kalitesi: A = su göstergesi + koordinat; B = su göstergesi veya koordinat; C = HES listesi + güç/il gibi kısmi web zenginleştirmesi.</x:v>
      </x:c>
      <x:c r="E16" s="70"/>
      <x:c r="F16" s="70"/>
      <x:c r="G16" s="70"/>
      <x:c r="H16" s="81"/>
    </x:row>
    <x:row r="17">
      <x:c r="A17" s="79" t="str">
        <x:v>Kalite B</x:v>
      </x:c>
      <x:c r="B17" s="56" t="n">
        <x:f>COUNTIF(HES_177!V4:V180,"B")</x:f>
        <x:v>49</x:v>
      </x:c>
      <x:c r="C17" s="80"/>
      <x:c r="D17" s="80"/>
      <x:c r="E17" s="80"/>
      <x:c r="F17" s="80"/>
      <x:c r="G17" s="80"/>
      <x:c r="H17" s="82"/>
    </x:row>
    <x:row r="18">
      <x:c r="A18" s="83" t="str">
        <x:v>Kalite C</x:v>
      </x:c>
      <x:c r="B18" s="84" t="n">
        <x:f>COUNTIF(HES_177!V4:V180,"C")</x:f>
        <x:v>82</x:v>
      </x:c>
      <x:c r="C18" s="85"/>
      <x:c r="D18" s="85"/>
      <x:c r="E18" s="85"/>
      <x:c r="F18" s="85"/>
      <x:c r="G18" s="85"/>
      <x:c r="H18" s="86"/>
    </x:row>
    <x:row r="30">
      <x:c r="J30"/>
    </x:row>
    <x:row r="31">
      <x:c r="J31"/>
    </x:row>
    <x:row r="32">
      <x:c r="J32"/>
    </x:row>
    <x:row r="33">
      <x:c r="J33"/>
    </x:row>
  </x:sheetData>
  <x:mergeCells>
    <x:mergeCell ref="A1:H1"/>
    <x:mergeCell ref="A2:H2"/>
    <x:mergeCell ref="D4:H4"/>
    <x:mergeCell ref="D5:H5"/>
    <x:mergeCell ref="D7:H7"/>
    <x:mergeCell ref="D10:H10"/>
    <x:mergeCell ref="D13:H13"/>
    <x:mergeCell ref="D16:H16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28" hidden="0" customWidth="1"/>
    <x:col min="3" max="3" width="18" hidden="0" customWidth="1"/>
    <x:col min="4" max="4" width="18" hidden="0" customWidth="1"/>
    <x:col min="5" max="5" width="9" hidden="0" customWidth="1"/>
    <x:col min="6" max="6" width="38" hidden="0" customWidth="1"/>
    <x:col min="7" max="7" width="26" hidden="0" customWidth="1"/>
    <x:col min="8" max="8" width="16" hidden="0" customWidth="1"/>
    <x:col min="9" max="9" width="12" hidden="0" customWidth="1"/>
    <x:col min="10" max="10" width="12" hidden="0" customWidth="1"/>
    <x:col min="11" max="11" width="15" hidden="0" customWidth="1"/>
    <x:col min="12" max="12" width="15" hidden="0" customWidth="1"/>
    <x:col min="13" max="13" width="23" hidden="0" customWidth="1"/>
    <x:col min="14" max="14" width="14" hidden="0" customWidth="1"/>
    <x:col min="15" max="15" width="14" hidden="0" customWidth="1"/>
    <x:col min="16" max="16" width="14" hidden="0" customWidth="1"/>
    <x:col min="17" max="17" width="14" hidden="0" customWidth="1"/>
    <x:col min="18" max="18" width="14" hidden="0" customWidth="1"/>
    <x:col min="19" max="19" width="18" hidden="0" customWidth="1"/>
    <x:col min="20" max="20" width="17" hidden="0" customWidth="1"/>
    <x:col min="21" max="21" width="16" hidden="0" customWidth="1"/>
    <x:col min="22" max="22" width="11" hidden="0" customWidth="1"/>
    <x:col min="23" max="23" width="34" hidden="0" customWidth="1"/>
    <x:col min="24" max="24" width="34" hidden="0" customWidth="1"/>
    <x:col min="25" max="25" width="34" hidden="0" customWidth="1"/>
    <x:col min="26" max="26" width="18" hidden="0" customWidth="1"/>
    <x:col min="27" max="27" width="42" hidden="0" customWidth="1"/>
  </x:cols>
  <x:sheetData>
    <x:row r="1" ht="28" customHeight="1">
      <x:c r="A1" s="5" t="str">
        <x:v>177 HES — Zenginleştirilmiş Hidroelektrik Santral Envanteri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  <x:c r="O1" s="5"/>
      <x:c r="P1" s="5"/>
      <x:c r="Q1" s="5"/>
      <x:c r="R1" s="5"/>
      <x:c r="S1" s="5"/>
      <x:c r="T1" s="5"/>
      <x:c r="U1" s="5"/>
      <x:c r="V1" s="5"/>
      <x:c r="W1" s="5"/>
      <x:c r="X1" s="5"/>
      <x:c r="Y1" s="5"/>
      <x:c r="Z1" s="5"/>
      <x:c r="AA1" s="5"/>
    </x:row>
    <x:row r="2" ht="34" customHeight="1">
      <x:c r="A2" s="13" t="str">
        <x:v>Kaynak sırası: HES_LİSTESİ → yüklenen EPİAŞ su göstergesi Excel dosyaları → TATUS havza/coğrafya → eksik alanlar için web araştırması. Boş alanlarda güvenilir açık kaynak bulunamadığında değer tahmin edilmemiştir.</x:v>
      </x:c>
      <x:c r="B2" s="13"/>
      <x:c r="C2" s="13"/>
      <x:c r="D2" s="13"/>
      <x:c r="E2" s="13"/>
      <x:c r="F2" s="13"/>
      <x:c r="G2" s="13"/>
      <x:c r="H2" s="13"/>
      <x:c r="I2" s="13"/>
      <x:c r="J2" s="13"/>
      <x:c r="K2" s="13"/>
      <x:c r="L2" s="13"/>
      <x:c r="M2" s="13"/>
      <x:c r="N2" s="13"/>
      <x:c r="O2" s="13"/>
      <x:c r="P2" s="13"/>
      <x:c r="Q2" s="13"/>
      <x:c r="R2" s="13"/>
      <x:c r="S2" s="13"/>
      <x:c r="T2" s="13"/>
      <x:c r="U2" s="13"/>
      <x:c r="V2" s="13"/>
      <x:c r="W2" s="13"/>
      <x:c r="X2" s="13"/>
      <x:c r="Y2" s="13"/>
      <x:c r="Z2" s="13"/>
      <x:c r="AA2" s="13"/>
    </x:row>
    <x:row r="3" ht="36" customHeight="1">
      <x:c r="A3" s="74" t="str">
        <x:v>Sıra</x:v>
      </x:c>
      <x:c r="B3" s="75" t="str">
        <x:v>HES</x:v>
      </x:c>
      <x:c r="C3" s="75" t="str">
        <x:v>Havza (Kaynak)</x:v>
      </x:c>
      <x:c r="D3" s="75" t="str">
        <x:v>Havza (TATUS)</x:v>
      </x:c>
      <x:c r="E3" s="75" t="str">
        <x:v>Havza ID</x:v>
      </x:c>
      <x:c r="F3" s="75" t="str">
        <x:v>Havza Poligon GeoJSON URL</x:v>
      </x:c>
      <x:c r="G3" s="75" t="str">
        <x:v>Baraj / Rezervuar Eşleşmesi</x:v>
      </x:c>
      <x:c r="H3" s="75" t="str">
        <x:v>Bulunduğu İl</x:v>
      </x:c>
      <x:c r="I3" s="75" t="str">
        <x:v>Enlem</x:v>
      </x:c>
      <x:c r="J3" s="75" t="str">
        <x:v>Boylam</x:v>
      </x:c>
      <x:c r="K3" s="75" t="str">
        <x:v>Maksimum Su Seviyesi (m)</x:v>
      </x:c>
      <x:c r="L3" s="75" t="str">
        <x:v>Minimum Su Seviyesi (m)</x:v>
      </x:c>
      <x:c r="M3" s="75" t="str">
        <x:v>Kaskat Santrali</x:v>
      </x:c>
      <x:c r="N3" s="75" t="str">
        <x:v>Kurulu Güç (MW)</x:v>
      </x:c>
      <x:c r="O3" s="75" t="str">
        <x:v>Ünite Debisi (m³/sn)</x:v>
      </x:c>
      <x:c r="P3" s="75" t="str">
        <x:v>Maksimum Hacim (hm³)</x:v>
      </x:c>
      <x:c r="Q3" s="75" t="str">
        <x:v>Minimum Hacim (hm³)</x:v>
      </x:c>
      <x:c r="R3" s="75" t="str">
        <x:v>Aktif Hacim (hm³)</x:v>
      </x:c>
      <x:c r="S3" s="75" t="str">
        <x:v>Suyun Enerji Karşılığı (MWh)</x:v>
      </x:c>
      <x:c r="T3" s="75" t="str">
        <x:v>EPİAŞ Veri Tarihi</x:v>
      </x:c>
      <x:c r="U3" s="75" t="str">
        <x:v>Eşleşme Yöntemi</x:v>
      </x:c>
      <x:c r="V3" s="75" t="str">
        <x:v>Veri Kalitesi</x:v>
      </x:c>
      <x:c r="W3" s="75" t="str">
        <x:v>İl Kaynağı</x:v>
      </x:c>
      <x:c r="X3" s="75" t="str">
        <x:v>Kurulu Güç Kaynağı</x:v>
      </x:c>
      <x:c r="Y3" s="75" t="str">
        <x:v>Konum Kaynağı</x:v>
      </x:c>
      <x:c r="Z3" s="75" t="str">
        <x:v>Kaskat Kaynak Değeri</x:v>
      </x:c>
      <x:c r="AA3" s="99" t="str">
        <x:v>Not</x:v>
      </x:c>
    </x:row>
    <x:row r="4" ht="30" customHeight="1">
      <x:c r="A4" s="100" t="n">
        <x:v>1</x:v>
      </x:c>
      <x:c r="B4" s="32" t="str">
        <x:v>ADATEPE HES</x:v>
      </x:c>
      <x:c r="C4" s="32" t="str">
        <x:v>Ceyhan</x:v>
      </x:c>
      <x:c r="D4" s="32" t="str">
        <x:v>Ceyhan</x:v>
      </x:c>
      <x:c r="E4" s="34" t="n">
        <x:v>20</x:v>
      </x:c>
      <x:c r="F4" s="32" t="str">
        <x:v>https://cbs1.tarimorman.gov.tr/server/rest/services/TATUS/FeatureServer/11/query?where=ID%3D20&amp;outFields=ID%2CHAVZA_ADI%2CALAN_KM2&amp;returnGeometry=true&amp;outSR=4326&amp;f=geojson</x:v>
      </x:c>
      <x:c r="G4" s="32" t="str">
        <x:v>ADATEPE</x:v>
      </x:c>
      <x:c r="H4" s="32" t="str">
        <x:v>KAHRAMANMARAŞ</x:v>
      </x:c>
      <x:c r="I4" s="36" t="n">
        <x:v>38.1078</x:v>
      </x:c>
      <x:c r="J4" s="36" t="n">
        <x:v>36.73953</x:v>
      </x:c>
      <x:c r="K4" s="38" t="n">
        <x:v>1311.79</x:v>
      </x:c>
      <x:c r="L4" s="38" t="n">
        <x:v>1270.5</x:v>
      </x:c>
      <x:c r="M4" s="32" t="str">
        <x:v>KANDİL HES</x:v>
      </x:c>
      <x:c r="N4" s="38" t="n">
        <x:v>4</x:v>
      </x:c>
      <x:c r="O4" s="38" t="n">
        <x:v>5</x:v>
      </x:c>
      <x:c r="P4" s="38" t="n">
        <x:v>524</x:v>
      </x:c>
      <x:c r="Q4" s="38" t="n">
        <x:v>76</x:v>
      </x:c>
      <x:c r="R4" s="38" t="n">
        <x:v>273.08</x:v>
      </x:c>
      <x:c r="S4" s="38" t="n">
        <x:v>54.02</x:v>
      </x:c>
      <x:c r="T4" s="40" t="n">
        <x:v>46278.81434027778</x:v>
      </x:c>
      <x:c r="U4" s="32" t="str">
        <x:v>exact</x:v>
      </x:c>
      <x:c r="V4" s="32" t="str">
        <x:v>A</x:v>
      </x:c>
      <x:c r="W4" s="32" t="str">
        <x:v>Yüklü Debi_ve_Kurulu_Guc-13092026.xlsx</x:v>
      </x:c>
      <x:c r="X4" s="32" t="str">
        <x:v>Yüklü Debi_ve_Kurulu_Guc-13092026.xlsx</x:v>
      </x:c>
      <x:c r="Y4" s="32" t="str">
        <x:v>https://cbs1.tarimorman.gov.tr/server/rest/services/TATUS/FeatureServer/7</x:v>
      </x:c>
      <x:c r="Z4" s="32" t="str">
        <x:v>KANDİL HES</x:v>
      </x:c>
      <x:c r="AA4" s="101" t="str"/>
    </x:row>
    <x:row r="5" ht="30" customHeight="1">
      <x:c r="A5" s="100" t="n">
        <x:v>2</x:v>
      </x:c>
      <x:c r="B5" s="32" t="str">
        <x:v>ADIGÜZEL2 HES</x:v>
      </x:c>
      <x:c r="C5" s="32" t="str">
        <x:v>Büyük Menderes</x:v>
      </x:c>
      <x:c r="D5" s="32" t="str">
        <x:v>Büyük Menderes</x:v>
      </x:c>
      <x:c r="E5" s="34" t="n">
        <x:v>7</x:v>
      </x:c>
      <x:c r="F5" s="32" t="str">
        <x:v>https://cbs1.tarimorman.gov.tr/server/rest/services/TATUS/FeatureServer/11/query?where=ID%3D7&amp;outFields=ID%2CHAVZA_ADI%2CALAN_KM2&amp;returnGeometry=true&amp;outSR=4326&amp;f=geojson</x:v>
      </x:c>
      <x:c r="G5" s="32" t="str">
        <x:v>ADIGÜZEL-2 HES</x:v>
      </x:c>
      <x:c r="H5" s="32" t="str">
        <x:v>DENİZLİ</x:v>
      </x:c>
      <x:c r="I5" s="36" t="n">
        <x:v>38.13667</x:v>
      </x:c>
      <x:c r="J5" s="36" t="n">
        <x:v>29.15691</x:v>
      </x:c>
      <x:c r="K5" s="38" t="n">
        <x:v>318</x:v>
      </x:c>
      <x:c r="L5" s="38" t="n">
        <x:v>310</x:v>
      </x:c>
      <x:c r="M5" s="32"/>
      <x:c r="N5" s="38" t="n">
        <x:v>30.1</x:v>
      </x:c>
      <x:c r="O5" s="38" t="n">
        <x:v>66</x:v>
      </x:c>
      <x:c r="P5" s="38" t="n">
        <x:v>15.25</x:v>
      </x:c>
      <x:c r="Q5" s="38" t="n">
        <x:v>9.73</x:v>
      </x:c>
      <x:c r="R5" s="38" t="n">
        <x:v>0.09</x:v>
      </x:c>
      <x:c r="S5" s="38" t="n">
        <x:v>0.01</x:v>
      </x:c>
      <x:c r="T5" s="40" t="n">
        <x:v>46278.81434027778</x:v>
      </x:c>
      <x:c r="U5" s="32" t="str">
        <x:v>alias</x:v>
      </x:c>
      <x:c r="V5" s="32" t="str">
        <x:v>A</x:v>
      </x:c>
      <x:c r="W5" s="32" t="str">
        <x:v>Yüklü Debi_ve_Kurulu_Guc-13092026.xlsx</x:v>
      </x:c>
      <x:c r="X5" s="32" t="str">
        <x:v>Yüklü Debi_ve_Kurulu_Guc-13092026.xlsx</x:v>
      </x:c>
      <x:c r="Y5" s="32" t="str">
        <x:v>https://cbs1.tarimorman.gov.tr/server/rest/services/TATUS/FeatureServer/7</x:v>
      </x:c>
      <x:c r="Z5" s="32" t="str">
        <x:v>10</x:v>
      </x:c>
      <x:c r="AA5" s="101" t="str">
        <x:v>Baraj adı eşleşmesi: ADIGÜZEL-2 HES; Kaskat alanında kaynak değeri '10' (belirsiz/sentinel)</x:v>
      </x:c>
    </x:row>
    <x:row r="6" ht="30" customHeight="1">
      <x:c r="A6" s="100" t="n">
        <x:v>3</x:v>
      </x:c>
      <x:c r="B6" s="32" t="str">
        <x:v>ADIGÜZEL HES</x:v>
      </x:c>
      <x:c r="C6" s="32" t="str">
        <x:v>Büyük Menderes</x:v>
      </x:c>
      <x:c r="D6" s="32" t="str">
        <x:v>Büyük Menderes</x:v>
      </x:c>
      <x:c r="E6" s="34" t="n">
        <x:v>7</x:v>
      </x:c>
      <x:c r="F6" s="32" t="str">
        <x:v>https://cbs1.tarimorman.gov.tr/server/rest/services/TATUS/FeatureServer/11/query?where=ID%3D7&amp;outFields=ID%2CHAVZA_ADI%2CALAN_KM2&amp;returnGeometry=true&amp;outSR=4326&amp;f=geojson</x:v>
      </x:c>
      <x:c r="G6" s="32" t="str">
        <x:v>ADIGÜZEL</x:v>
      </x:c>
      <x:c r="H6" s="32" t="str">
        <x:v>DENİZLİ</x:v>
      </x:c>
      <x:c r="I6" s="36" t="n">
        <x:v>38.15861</x:v>
      </x:c>
      <x:c r="J6" s="36" t="n">
        <x:v>29.20555</x:v>
      </x:c>
      <x:c r="K6" s="38" t="n">
        <x:v>453</x:v>
      </x:c>
      <x:c r="L6" s="38" t="n">
        <x:v>406</x:v>
      </x:c>
      <x:c r="M6" s="32"/>
      <x:c r="N6" s="38" t="n">
        <x:v>62</x:v>
      </x:c>
      <x:c r="O6" s="38" t="n">
        <x:v>66</x:v>
      </x:c>
      <x:c r="P6" s="38" t="n">
        <x:v>1032.26</x:v>
      </x:c>
      <x:c r="Q6" s="38" t="n">
        <x:v>226.44</x:v>
      </x:c>
      <x:c r="R6" s="38"/>
      <x:c r="S6" s="38"/>
      <x:c r="T6" s="40" t="n">
        <x:v>46278.81434027778</x:v>
      </x:c>
      <x:c r="U6" s="32" t="str">
        <x:v>exact</x:v>
      </x:c>
      <x:c r="V6" s="32" t="str">
        <x:v>A</x:v>
      </x:c>
      <x:c r="W6" s="32" t="str">
        <x:v>Yüklü Debi_ve_Kurulu_Guc-13092026.xlsx</x:v>
      </x:c>
      <x:c r="X6" s="32" t="str">
        <x:v>Yüklü Debi_ve_Kurulu_Guc-13092026.xlsx</x:v>
      </x:c>
      <x:c r="Y6" s="32" t="str">
        <x:v>https://cbs1.tarimorman.gov.tr/server/rest/services/TATUS/FeatureServer/7</x:v>
      </x:c>
      <x:c r="Z6" s="32" t="str">
        <x:v>10</x:v>
      </x:c>
      <x:c r="AA6" s="101" t="str">
        <x:v>Kaskat alanında kaynak değeri '10' (belirsiz/sentinel)</x:v>
      </x:c>
    </x:row>
    <x:row r="7" ht="30" customHeight="1">
      <x:c r="A7" s="100" t="n">
        <x:v>4</x:v>
      </x:c>
      <x:c r="B7" s="32" t="str">
        <x:v>AKKÖPRÜ HES</x:v>
      </x:c>
      <x:c r="C7" s="32" t="str">
        <x:v>Batı Akdeniz</x:v>
      </x:c>
      <x:c r="D7" s="32" t="str">
        <x:v>Batı Akdeniz</x:v>
      </x:c>
      <x:c r="E7" s="34" t="n">
        <x:v>8</x:v>
      </x:c>
      <x:c r="F7" s="32" t="str">
        <x:v>https://cbs1.tarimorman.gov.tr/server/rest/services/TATUS/FeatureServer/11/query?where=ID%3D8&amp;outFields=ID%2CHAVZA_ADI%2CALAN_KM2&amp;returnGeometry=true&amp;outSR=4326&amp;f=geojson</x:v>
      </x:c>
      <x:c r="G7" s="32" t="str">
        <x:v>AKKÖPRÜ</x:v>
      </x:c>
      <x:c r="H7" s="32" t="str">
        <x:v>MUĞLA</x:v>
      </x:c>
      <x:c r="I7" s="36"/>
      <x:c r="J7" s="36"/>
      <x:c r="K7" s="38" t="n">
        <x:v>204</x:v>
      </x:c>
      <x:c r="L7" s="38" t="n">
        <x:v>140</x:v>
      </x:c>
      <x:c r="M7" s="32"/>
      <x:c r="N7" s="38" t="n">
        <x:v>118.6</x:v>
      </x:c>
      <x:c r="O7" s="38" t="n">
        <x:v>150</x:v>
      </x:c>
      <x:c r="P7" s="38" t="n">
        <x:v>419.2</x:v>
      </x:c>
      <x:c r="Q7" s="38" t="n">
        <x:v>195.81</x:v>
      </x:c>
      <x:c r="R7" s="38" t="n">
        <x:v>12.49</x:v>
      </x:c>
      <x:c r="S7" s="38" t="n">
        <x:v>2.38</x:v>
      </x:c>
      <x:c r="T7" s="40" t="n">
        <x:v>46278.81434027778</x:v>
      </x:c>
      <x:c r="U7" s="32" t="str">
        <x:v>exact</x:v>
      </x:c>
      <x:c r="V7" s="32" t="str">
        <x:v>B</x:v>
      </x:c>
      <x:c r="W7" s="32" t="str">
        <x:v>Yüklü Debi_ve_Kurulu_Guc-13092026.xlsx</x:v>
      </x:c>
      <x:c r="X7" s="32" t="str">
        <x:v>Yüklü Debi_ve_Kurulu_Guc-13092026.xlsx</x:v>
      </x:c>
      <x:c r="Y7" s="32"/>
      <x:c r="Z7" s="32" t="str">
        <x:v>10</x:v>
      </x:c>
      <x:c r="AA7" s="101" t="str">
        <x:v>Kaskat alanında kaynak değeri '10' (belirsiz/sentinel); Koordinat güvenilir açık kaynaktan doğrulanamadı</x:v>
      </x:c>
    </x:row>
    <x:row r="8" ht="30" customHeight="1">
      <x:c r="A8" s="100" t="n">
        <x:v>5</x:v>
      </x:c>
      <x:c r="B8" s="32" t="str">
        <x:v>AKKÖY1 HES</x:v>
      </x:c>
      <x:c r="C8" s="32" t="str">
        <x:v>Doğu Karadeniz</x:v>
      </x:c>
      <x:c r="D8" s="32" t="str">
        <x:v>Doğu Karadeniz</x:v>
      </x:c>
      <x:c r="E8" s="34" t="n">
        <x:v>22</x:v>
      </x:c>
      <x:c r="F8" s="32" t="str">
        <x:v>https://cbs1.tarimorman.gov.tr/server/rest/services/TATUS/FeatureServer/11/query?where=ID%3D22&amp;outFields=ID%2CHAVZA_ADI%2CALAN_KM2&amp;returnGeometry=true&amp;outSR=4326&amp;f=geojson</x:v>
      </x:c>
      <x:c r="G8" s="32" t="str">
        <x:v>AKKÖY 1</x:v>
      </x:c>
      <x:c r="H8" s="32" t="str">
        <x:v>GÜMÜŞHANE</x:v>
      </x:c>
      <x:c r="I8" s="36" t="n">
        <x:v>40.69314</x:v>
      </x:c>
      <x:c r="J8" s="36" t="n">
        <x:v>39.09545</x:v>
      </x:c>
      <x:c r="K8" s="38" t="n">
        <x:v>545</x:v>
      </x:c>
      <x:c r="L8" s="38" t="n">
        <x:v>530</x:v>
      </x:c>
      <x:c r="M8" s="32"/>
      <x:c r="N8" s="38" t="n">
        <x:v>101.9</x:v>
      </x:c>
      <x:c r="O8" s="38" t="n">
        <x:v>90</x:v>
      </x:c>
      <x:c r="P8" s="38" t="n">
        <x:v>3.34</x:v>
      </x:c>
      <x:c r="Q8" s="38" t="n">
        <x:v>0.62</x:v>
      </x:c>
      <x:c r="R8" s="38"/>
      <x:c r="S8" s="38"/>
      <x:c r="T8" s="40" t="n">
        <x:v>46278.81434027778</x:v>
      </x:c>
      <x:c r="U8" s="32" t="str">
        <x:v>exact</x:v>
      </x:c>
      <x:c r="V8" s="32" t="str">
        <x:v>A</x:v>
      </x:c>
      <x:c r="W8" s="32" t="str">
        <x:v>Yüklü Debi_ve_Kurulu_Guc-13092026.xlsx</x:v>
      </x:c>
      <x:c r="X8" s="32" t="str">
        <x:v>Yüklü Debi_ve_Kurulu_Guc-13092026.xlsx</x:v>
      </x:c>
      <x:c r="Y8" s="32" t="str">
        <x:v>https://cbs1.tarimorman.gov.tr/server/rest/services/TATUS/FeatureServer/7</x:v>
      </x:c>
      <x:c r="Z8" s="32" t="str">
        <x:v>10</x:v>
      </x:c>
      <x:c r="AA8" s="101" t="str">
        <x:v>Kaskat alanında kaynak değeri '10' (belirsiz/sentinel)</x:v>
      </x:c>
    </x:row>
    <x:row r="9" ht="30" customHeight="1">
      <x:c r="A9" s="100" t="n">
        <x:v>6</x:v>
      </x:c>
      <x:c r="B9" s="32" t="str">
        <x:v>AKKÖY2 HES</x:v>
      </x:c>
      <x:c r="C9" s="32" t="str">
        <x:v>Doğu Karadeniz</x:v>
      </x:c>
      <x:c r="D9" s="32" t="str">
        <x:v>Doğu Karadeniz</x:v>
      </x:c>
      <x:c r="E9" s="34" t="n">
        <x:v>22</x:v>
      </x:c>
      <x:c r="F9" s="32" t="str">
        <x:v>https://cbs1.tarimorman.gov.tr/server/rest/services/TATUS/FeatureServer/11/query?where=ID%3D22&amp;outFields=ID%2CHAVZA_ADI%2CALAN_KM2&amp;returnGeometry=true&amp;outSR=4326&amp;f=geojson</x:v>
      </x:c>
      <x:c r="G9" s="32" t="str">
        <x:v>AKKÖY2</x:v>
      </x:c>
      <x:c r="H9" s="32" t="str">
        <x:v>GÜMÜŞHANE</x:v>
      </x:c>
      <x:c r="I9" s="36" t="n">
        <x:v>40.73784</x:v>
      </x:c>
      <x:c r="J9" s="36" t="n">
        <x:v>38.9909</x:v>
      </x:c>
      <x:c r="K9" s="38" t="n">
        <x:v>1627</x:v>
      </x:c>
      <x:c r="L9" s="38" t="n">
        <x:v>1588</x:v>
      </x:c>
      <x:c r="M9" s="32"/>
      <x:c r="N9" s="38" t="n">
        <x:v>229.68</x:v>
      </x:c>
      <x:c r="O9" s="38"/>
      <x:c r="P9" s="38"/>
      <x:c r="Q9" s="38"/>
      <x:c r="R9" s="38"/>
      <x:c r="S9" s="38"/>
      <x:c r="T9" s="40"/>
      <x:c r="U9" s="32" t="str">
        <x:v>eşleşme yok</x:v>
      </x:c>
      <x:c r="V9" s="32" t="str">
        <x:v>B</x:v>
      </x:c>
      <x:c r="W9" s="32" t="str">
        <x:v>https://www.enerjiatlasi.com/hidroelektrik/akkoy-baraji.html</x:v>
      </x:c>
      <x:c r="X9" s="32" t="str">
        <x:v>https://www.enerjiatlasi.com/hidroelektrik/akkoy-baraji.html</x:v>
      </x:c>
      <x:c r="Y9" s="32" t="str">
        <x:v>https://mapcarta.com/W186482628</x:v>
      </x:c>
      <x:c r="Z9" s="32" t="str">
        <x:v>10</x:v>
      </x:c>
      <x:c r="AA9" s="101" t="str">
        <x:v>EPİAŞ su göstergesi eşleşmesi bulunamadı; Kaskat alanında kaynak değeri '10' (belirsiz/sentinel); Koordinat güvenilir açık kaynaktan doğrulanamadı; Kurulu güç bulunamadı; Eksik kurulu güç/il bilgisi kamuya açık web kaynağıyla tamamlandı; Koordinat OSM tabanlı ikincil kaynak; Ünite debisi doğrulanamadı; Maksimum/minimum hacim doğrulanamadı</x:v>
      </x:c>
    </x:row>
    <x:row r="10" ht="30" customHeight="1">
      <x:c r="A10" s="100" t="n">
        <x:v>7</x:v>
      </x:c>
      <x:c r="B10" s="32" t="str">
        <x:v>AKŞAR NAZAR HES</x:v>
      </x:c>
      <x:c r="C10" s="32" t="str">
        <x:v>Fırat Dicle</x:v>
      </x:c>
      <x:c r="D10" s="32" t="str">
        <x:v>Fırat-Dicle</x:v>
      </x:c>
      <x:c r="E10" s="34" t="n">
        <x:v>21</x:v>
      </x:c>
      <x:c r="F10" s="32" t="str">
        <x:v>https://cbs1.tarimorman.gov.tr/server/rest/services/TATUS/FeatureServer/11/query?where=ID%3D21&amp;outFields=ID%2CHAVZA_ADI%2CALAN_KM2&amp;returnGeometry=true&amp;outSR=4326&amp;f=geojson</x:v>
      </x:c>
      <x:c r="G10" s="32" t="str">
        <x:v>AKŞAR NAZAR</x:v>
      </x:c>
      <x:c r="H10" s="32" t="str">
        <x:v>BİTLİS</x:v>
      </x:c>
      <x:c r="I10" s="36"/>
      <x:c r="J10" s="36"/>
      <x:c r="K10" s="38" t="n">
        <x:v>1126</x:v>
      </x:c>
      <x:c r="L10" s="38" t="n">
        <x:v>1122</x:v>
      </x:c>
      <x:c r="M10" s="32"/>
      <x:c r="N10" s="38" t="n">
        <x:v>30.24</x:v>
      </x:c>
      <x:c r="O10" s="38"/>
      <x:c r="P10" s="38"/>
      <x:c r="Q10" s="38"/>
      <x:c r="R10" s="38"/>
      <x:c r="S10" s="38"/>
      <x:c r="T10" s="40"/>
      <x:c r="U10" s="32" t="str">
        <x:v>eşleşme yok</x:v>
      </x:c>
      <x:c r="V10" s="32" t="str">
        <x:v>C</x:v>
      </x:c>
      <x:c r="W10" s="32" t="str">
        <x:v>https://turkiyebarajlar.com/santral-arizasi/97211-aksar-nazar-enerji-uretim-as-aksar-nazar-hes</x:v>
      </x:c>
      <x:c r="X10" s="32" t="str">
        <x:v>https://turkiyebarajlar.com/santral-arizasi/97211-aksar-nazar-enerji-uretim-as-aksar-nazar-hes</x:v>
      </x:c>
      <x:c r="Y10" s="32"/>
      <x:c r="Z10" s="32" t="str">
        <x:v>10</x:v>
      </x:c>
      <x:c r="AA10" s="101" t="str">
        <x:v>EPİAŞ su göstergesi eşleşmesi bulunamadı; Kaskat alanında kaynak değeri '10' (belirsiz/sentinel); Koordinat güvenilir açık kaynaktan doğrulanamadı; Kurulu güç bulunamadı; Eksik kurulu güç/il bilgisi kamuya açık web kaynağıyla tamamlandı; Ünite debisi doğrulanamadı; Maksimum/minimum hacim doğrulanamadı</x:v>
      </x:c>
    </x:row>
    <x:row r="11" ht="30" customHeight="1">
      <x:c r="A11" s="100" t="n">
        <x:v>8</x:v>
      </x:c>
      <x:c r="B11" s="32" t="str">
        <x:v>ALAKÖPRÜ HES</x:v>
      </x:c>
      <x:c r="C11" s="32" t="str">
        <x:v>Doğu Akdeniz</x:v>
      </x:c>
      <x:c r="D11" s="32" t="str">
        <x:v>Doğu Akdeniz</x:v>
      </x:c>
      <x:c r="E11" s="34" t="n">
        <x:v>17</x:v>
      </x:c>
      <x:c r="F11" s="32" t="str">
        <x:v>https://cbs1.tarimorman.gov.tr/server/rest/services/TATUS/FeatureServer/11/query?where=ID%3D17&amp;outFields=ID%2CHAVZA_ADI%2CALAN_KM2&amp;returnGeometry=true&amp;outSR=4326&amp;f=geojson</x:v>
      </x:c>
      <x:c r="G11" s="32" t="str">
        <x:v>ALAKÖPRÜ</x:v>
      </x:c>
      <x:c r="H11" s="32" t="str">
        <x:v>İÇEL</x:v>
      </x:c>
      <x:c r="I11" s="36" t="n">
        <x:v>36.181667</x:v>
      </x:c>
      <x:c r="J11" s="36" t="n">
        <x:v>32.895</x:v>
      </x:c>
      <x:c r="K11" s="38" t="n">
        <x:v>135</x:v>
      </x:c>
      <x:c r="L11" s="38" t="n">
        <x:v>119</x:v>
      </x:c>
      <x:c r="M11" s="32"/>
      <x:c r="N11" s="38" t="n">
        <x:v>32</x:v>
      </x:c>
      <x:c r="O11" s="38" t="n">
        <x:v>43</x:v>
      </x:c>
      <x:c r="P11" s="38" t="n">
        <x:v>117.07</x:v>
      </x:c>
      <x:c r="Q11" s="38" t="n">
        <x:v>36.28</x:v>
      </x:c>
      <x:c r="R11" s="38" t="n">
        <x:v>56.61</x:v>
      </x:c>
      <x:c r="S11" s="38" t="n">
        <x:v>11.18</x:v>
      </x:c>
      <x:c r="T11" s="40" t="n">
        <x:v>46278.81434027778</x:v>
      </x:c>
      <x:c r="U11" s="32" t="str">
        <x:v>exact</x:v>
      </x:c>
      <x:c r="V11" s="32" t="str">
        <x:v>A</x:v>
      </x:c>
      <x:c r="W11" s="32" t="str">
        <x:v>Yüklü Debi_ve_Kurulu_Guc-13092026.xlsx</x:v>
      </x:c>
      <x:c r="X11" s="32" t="str">
        <x:v>Yüklü Debi_ve_Kurulu_Guc-13092026.xlsx</x:v>
      </x:c>
      <x:c r="Y11" s="32" t="str">
        <x:v>https://turkiyebarajlar.com/baraj/alakopru</x:v>
      </x:c>
      <x:c r="Z11" s="32" t="str">
        <x:v>10</x:v>
      </x:c>
      <x:c r="AA11" s="101" t="str">
        <x:v>Kaskat alanında kaynak değeri '10' (belirsiz/sentinel)</x:v>
      </x:c>
    </x:row>
    <x:row r="12" ht="30" customHeight="1">
      <x:c r="A12" s="100" t="n">
        <x:v>9</x:v>
      </x:c>
      <x:c r="B12" s="32" t="str">
        <x:v>ALKUMRU HES</x:v>
      </x:c>
      <x:c r="C12" s="32" t="str">
        <x:v>Fırat Dicle</x:v>
      </x:c>
      <x:c r="D12" s="32" t="str">
        <x:v>Fırat-Dicle</x:v>
      </x:c>
      <x:c r="E12" s="34" t="n">
        <x:v>21</x:v>
      </x:c>
      <x:c r="F12" s="32" t="str">
        <x:v>https://cbs1.tarimorman.gov.tr/server/rest/services/TATUS/FeatureServer/11/query?where=ID%3D21&amp;outFields=ID%2CHAVZA_ADI%2CALAN_KM2&amp;returnGeometry=true&amp;outSR=4326&amp;f=geojson</x:v>
      </x:c>
      <x:c r="G12" s="32" t="str">
        <x:v>ALKUMRU</x:v>
      </x:c>
      <x:c r="H12" s="32" t="str">
        <x:v>SİİRT</x:v>
      </x:c>
      <x:c r="I12" s="36"/>
      <x:c r="J12" s="36"/>
      <x:c r="K12" s="38" t="n">
        <x:v>647</x:v>
      </x:c>
      <x:c r="L12" s="38" t="n">
        <x:v>611.8</x:v>
      </x:c>
      <x:c r="M12" s="32" t="str">
        <x:v>ILISU HES</x:v>
      </x:c>
      <x:c r="N12" s="38" t="n">
        <x:v>276</x:v>
      </x:c>
      <x:c r="O12" s="38"/>
      <x:c r="P12" s="38"/>
      <x:c r="Q12" s="38"/>
      <x:c r="R12" s="38"/>
      <x:c r="S12" s="38"/>
      <x:c r="T12" s="40"/>
      <x:c r="U12" s="32" t="str">
        <x:v>eşleşme yok</x:v>
      </x:c>
      <x:c r="V12" s="32" t="str">
        <x:v>C</x:v>
      </x:c>
      <x:c r="W12" s="32" t="str">
        <x:v>https://openinframap.org/stats/area/Turkey/plants?source=hydro</x:v>
      </x:c>
      <x:c r="X12" s="32" t="str">
        <x:v>https://openinframap.org/stats/area/Turkey/plants?source=hydro</x:v>
      </x:c>
      <x:c r="Y12" s="32"/>
      <x:c r="Z12" s="32" t="str">
        <x:v>ILISU HES</x:v>
      </x:c>
      <x:c r="AA12" s="101" t="str">
        <x:v>EPİAŞ su göstergesi eşleşmesi bulunamadı; Koordinat güvenilir açık kaynaktan doğrulanamadı; Ünite debisi doğrulanamadı; Maksimum/minimum hacim doğrulanamadı</x:v>
      </x:c>
    </x:row>
    <x:row r="13" ht="30" customHeight="1">
      <x:c r="A13" s="100" t="n">
        <x:v>10</x:v>
      </x:c>
      <x:c r="B13" s="32" t="str">
        <x:v>ALMUS HES</x:v>
      </x:c>
      <x:c r="C13" s="32" t="str">
        <x:v>Yeşilırmak</x:v>
      </x:c>
      <x:c r="D13" s="32" t="str">
        <x:v>Yeşilırmak</x:v>
      </x:c>
      <x:c r="E13" s="34" t="n">
        <x:v>14</x:v>
      </x:c>
      <x:c r="F13" s="32" t="str">
        <x:v>https://cbs1.tarimorman.gov.tr/server/rest/services/TATUS/FeatureServer/11/query?where=ID%3D14&amp;outFields=ID%2CHAVZA_ADI%2CALAN_KM2&amp;returnGeometry=true&amp;outSR=4326&amp;f=geojson</x:v>
      </x:c>
      <x:c r="G13" s="32" t="str">
        <x:v>ALMUS</x:v>
      </x:c>
      <x:c r="H13" s="32" t="str">
        <x:v>TOKAT</x:v>
      </x:c>
      <x:c r="I13" s="36" t="n">
        <x:v>40.40784</x:v>
      </x:c>
      <x:c r="J13" s="36" t="n">
        <x:v>36.90323</x:v>
      </x:c>
      <x:c r="K13" s="38" t="n">
        <x:v>804.5</x:v>
      </x:c>
      <x:c r="L13" s="38" t="n">
        <x:v>767.37</x:v>
      </x:c>
      <x:c r="M13" s="32"/>
      <x:c r="N13" s="38" t="n">
        <x:v>27</x:v>
      </x:c>
      <x:c r="O13" s="38" t="n">
        <x:v>49.5</x:v>
      </x:c>
      <x:c r="P13" s="38" t="n">
        <x:v>975.74</x:v>
      </x:c>
      <x:c r="Q13" s="38" t="n">
        <x:v>146.06</x:v>
      </x:c>
      <x:c r="R13" s="38" t="n">
        <x:v>602.84</x:v>
      </x:c>
      <x:c r="S13" s="38" t="n">
        <x:v>97.75</x:v>
      </x:c>
      <x:c r="T13" s="40" t="n">
        <x:v>46278.81434027778</x:v>
      </x:c>
      <x:c r="U13" s="32" t="str">
        <x:v>exact</x:v>
      </x:c>
      <x:c r="V13" s="32" t="str">
        <x:v>A</x:v>
      </x:c>
      <x:c r="W13" s="32" t="str">
        <x:v>Yüklü Debi_ve_Kurulu_Guc-13092026.xlsx</x:v>
      </x:c>
      <x:c r="X13" s="32" t="str">
        <x:v>Yüklü Debi_ve_Kurulu_Guc-13092026.xlsx</x:v>
      </x:c>
      <x:c r="Y13" s="32" t="str">
        <x:v>https://cbs1.tarimorman.gov.tr/server/rest/services/TATUS/FeatureServer/7</x:v>
      </x:c>
      <x:c r="Z13" s="32" t="str">
        <x:v>10</x:v>
      </x:c>
      <x:c r="AA13" s="101" t="str">
        <x:v>Kaskat alanında kaynak değeri '10' (belirsiz/sentinel)</x:v>
      </x:c>
    </x:row>
    <x:row r="14" ht="30" customHeight="1">
      <x:c r="A14" s="100" t="n">
        <x:v>11</x:v>
      </x:c>
      <x:c r="B14" s="32" t="str">
        <x:v>ALPASLAN1 HES</x:v>
      </x:c>
      <x:c r="C14" s="32" t="str">
        <x:v>Fırat Dicle</x:v>
      </x:c>
      <x:c r="D14" s="32" t="str">
        <x:v>Fırat-Dicle</x:v>
      </x:c>
      <x:c r="E14" s="34" t="n">
        <x:v>21</x:v>
      </x:c>
      <x:c r="F14" s="32" t="str">
        <x:v>https://cbs1.tarimorman.gov.tr/server/rest/services/TATUS/FeatureServer/11/query?where=ID%3D21&amp;outFields=ID%2CHAVZA_ADI%2CALAN_KM2&amp;returnGeometry=true&amp;outSR=4326&amp;f=geojson</x:v>
      </x:c>
      <x:c r="G14" s="32" t="str">
        <x:v>ALPASLAN1</x:v>
      </x:c>
      <x:c r="H14" s="32" t="str">
        <x:v>MUŞ</x:v>
      </x:c>
      <x:c r="I14" s="36"/>
      <x:c r="J14" s="36"/>
      <x:c r="K14" s="38" t="n">
        <x:v>1450</x:v>
      </x:c>
      <x:c r="L14" s="38" t="n">
        <x:v>1430</x:v>
      </x:c>
      <x:c r="M14" s="32"/>
      <x:c r="N14" s="38" t="n">
        <x:v>160</x:v>
      </x:c>
      <x:c r="O14" s="38"/>
      <x:c r="P14" s="38"/>
      <x:c r="Q14" s="38"/>
      <x:c r="R14" s="38"/>
      <x:c r="S14" s="38"/>
      <x:c r="T14" s="40"/>
      <x:c r="U14" s="32" t="str">
        <x:v>eşleşme yok</x:v>
      </x:c>
      <x:c r="V14" s="32" t="str">
        <x:v>C</x:v>
      </x:c>
      <x:c r="W14" s="32" t="str">
        <x:v>https://openinframap.org/stats/area/Turkey/plants?source=hydro</x:v>
      </x:c>
      <x:c r="X14" s="32" t="str">
        <x:v>https://openinframap.org/stats/area/Turkey/plants?source=hydro</x:v>
      </x:c>
      <x:c r="Y14" s="32"/>
      <x:c r="Z14" s="32" t="str">
        <x:v>10</x:v>
      </x:c>
      <x:c r="AA14" s="101" t="str">
        <x:v>EPİAŞ su göstergesi eşleşmesi bulunamadı; Kaskat alanında kaynak değeri '10' (belirsiz/sentinel); Koordinat güvenilir açık kaynaktan doğrulanamadı; Ünite debisi doğrulanamadı; Maksimum/minimum hacim doğrulanamadı</x:v>
      </x:c>
    </x:row>
    <x:row r="15" ht="30" customHeight="1">
      <x:c r="A15" s="100" t="n">
        <x:v>12</x:v>
      </x:c>
      <x:c r="B15" s="32" t="str">
        <x:v>ALPASLAN2 HES</x:v>
      </x:c>
      <x:c r="C15" s="32" t="str">
        <x:v>Fırat Dicle</x:v>
      </x:c>
      <x:c r="D15" s="32" t="str">
        <x:v>Fırat-Dicle</x:v>
      </x:c>
      <x:c r="E15" s="34" t="n">
        <x:v>21</x:v>
      </x:c>
      <x:c r="F15" s="32" t="str">
        <x:v>https://cbs1.tarimorman.gov.tr/server/rest/services/TATUS/FeatureServer/11/query?where=ID%3D21&amp;outFields=ID%2CHAVZA_ADI%2CALAN_KM2&amp;returnGeometry=true&amp;outSR=4326&amp;f=geojson</x:v>
      </x:c>
      <x:c r="G15" s="32" t="str">
        <x:v>ALPASLAN2</x:v>
      </x:c>
      <x:c r="H15" s="32" t="str">
        <x:v>MUŞ</x:v>
      </x:c>
      <x:c r="I15" s="36"/>
      <x:c r="J15" s="36"/>
      <x:c r="K15" s="38" t="n">
        <x:v>1369.3</x:v>
      </x:c>
      <x:c r="L15" s="38" t="n">
        <x:v>1340</x:v>
      </x:c>
      <x:c r="M15" s="32" t="str">
        <x:v>YUKARI KALEKÖY HES</x:v>
      </x:c>
      <x:c r="N15" s="38" t="n">
        <x:v>280</x:v>
      </x:c>
      <x:c r="O15" s="38"/>
      <x:c r="P15" s="38"/>
      <x:c r="Q15" s="38"/>
      <x:c r="R15" s="38"/>
      <x:c r="S15" s="38"/>
      <x:c r="T15" s="40"/>
      <x:c r="U15" s="32" t="str">
        <x:v>eşleşme yok</x:v>
      </x:c>
      <x:c r="V15" s="32" t="str">
        <x:v>C</x:v>
      </x:c>
      <x:c r="W15" s="32" t="str">
        <x:v>https://openinframap.org/stats/area/Turkey/plants?source=hydro</x:v>
      </x:c>
      <x:c r="X15" s="32" t="str">
        <x:v>https://openinframap.org/stats/area/Turkey/plants?source=hydro</x:v>
      </x:c>
      <x:c r="Y15" s="32"/>
      <x:c r="Z15" s="32" t="str">
        <x:v>YUKARI KALEKÖY HES</x:v>
      </x:c>
      <x:c r="AA15" s="101" t="str">
        <x:v>EPİAŞ su göstergesi eşleşmesi bulunamadı; Koordinat güvenilir açık kaynaktan doğrulanamadı; Ünite debisi doğrulanamadı; Maksimum/minimum hacim doğrulanamadı</x:v>
      </x:c>
    </x:row>
    <x:row r="16" ht="30" customHeight="1">
      <x:c r="A16" s="100" t="n">
        <x:v>13</x:v>
      </x:c>
      <x:c r="B16" s="32" t="str">
        <x:v>ALTEK GÖNEN HES</x:v>
      </x:c>
      <x:c r="C16" s="32" t="str">
        <x:v>Susurluk</x:v>
      </x:c>
      <x:c r="D16" s="32" t="str">
        <x:v>Susurluk</x:v>
      </x:c>
      <x:c r="E16" s="34" t="n">
        <x:v>3</x:v>
      </x:c>
      <x:c r="F16" s="32" t="str">
        <x:v>https://cbs1.tarimorman.gov.tr/server/rest/services/TATUS/FeatureServer/11/query?where=ID%3D3&amp;outFields=ID%2CHAVZA_ADI%2CALAN_KM2&amp;returnGeometry=true&amp;outSR=4326&amp;f=geojson</x:v>
      </x:c>
      <x:c r="G16" s="32" t="str">
        <x:v>ALTEK GÖNEN</x:v>
      </x:c>
      <x:c r="H16" s="32" t="str">
        <x:v>BALIKESİR</x:v>
      </x:c>
      <x:c r="I16" s="36"/>
      <x:c r="J16" s="36"/>
      <x:c r="K16" s="38" t="n">
        <x:v>162.94</x:v>
      </x:c>
      <x:c r="L16" s="38" t="n">
        <x:v>125</x:v>
      </x:c>
      <x:c r="M16" s="32"/>
      <x:c r="N16" s="38" t="n">
        <x:v>10.6</x:v>
      </x:c>
      <x:c r="O16" s="38"/>
      <x:c r="P16" s="38"/>
      <x:c r="Q16" s="38"/>
      <x:c r="R16" s="38"/>
      <x:c r="S16" s="38"/>
      <x:c r="T16" s="40"/>
      <x:c r="U16" s="32" t="str">
        <x:v>eşleşme yok</x:v>
      </x:c>
      <x:c r="V16" s="32" t="str">
        <x:v>C</x:v>
      </x:c>
      <x:c r="W16" s="32" t="str">
        <x:v>https://www.alarko.com.tr/faaliyet-gruplari/enerji-grubu/</x:v>
      </x:c>
      <x:c r="X16" s="32" t="str">
        <x:v>https://www.alarko.com.tr/faaliyet-gruplari/enerji-grubu/</x:v>
      </x:c>
      <x:c r="Y16" s="32"/>
      <x:c r="Z16" s="32" t="str">
        <x:v>10</x:v>
      </x:c>
      <x:c r="AA16" s="101" t="str">
        <x:v>EPİAŞ su göstergesi eşleşmesi bulunamadı; Kaskat alanında kaynak değeri '10' (belirsiz/sentinel); Koordinat güvenilir açık kaynaktan doğrulanamadı; Ünite debisi doğrulanamadı; Maksimum/minimum hacim doğrulanamadı</x:v>
      </x:c>
    </x:row>
    <x:row r="17" ht="30" customHeight="1">
      <x:c r="A17" s="100" t="n">
        <x:v>14</x:v>
      </x:c>
      <x:c r="B17" s="32" t="str">
        <x:v>ALTINKAYA HES</x:v>
      </x:c>
      <x:c r="C17" s="32" t="str">
        <x:v>Kızılırmak</x:v>
      </x:c>
      <x:c r="D17" s="32" t="str">
        <x:v>Kızılırmak</x:v>
      </x:c>
      <x:c r="E17" s="34" t="n">
        <x:v>15</x:v>
      </x:c>
      <x:c r="F17" s="32" t="str">
        <x:v>https://cbs1.tarimorman.gov.tr/server/rest/services/TATUS/FeatureServer/11/query?where=ID%3D15&amp;outFields=ID%2CHAVZA_ADI%2CALAN_KM2&amp;returnGeometry=true&amp;outSR=4326&amp;f=geojson</x:v>
      </x:c>
      <x:c r="G17" s="32" t="str">
        <x:v>ALTINKAYA</x:v>
      </x:c>
      <x:c r="H17" s="32" t="str">
        <x:v>SAMSUN</x:v>
      </x:c>
      <x:c r="I17" s="36" t="n">
        <x:v>41.363333</x:v>
      </x:c>
      <x:c r="J17" s="36" t="n">
        <x:v>35.724167</x:v>
      </x:c>
      <x:c r="K17" s="38" t="n">
        <x:v>190</x:v>
      </x:c>
      <x:c r="L17" s="38" t="n">
        <x:v>160</x:v>
      </x:c>
      <x:c r="M17" s="32" t="str">
        <x:v>DERBENT HES</x:v>
      </x:c>
      <x:c r="N17" s="38" t="n">
        <x:v>700</x:v>
      </x:c>
      <x:c r="O17" s="38" t="n">
        <x:v>151.7</x:v>
      </x:c>
      <x:c r="P17" s="38" t="n">
        <x:v>5763</x:v>
      </x:c>
      <x:c r="Q17" s="38" t="n">
        <x:v>2871</x:v>
      </x:c>
      <x:c r="R17" s="38" t="n">
        <x:v>1214.23</x:v>
      </x:c>
      <x:c r="S17" s="38" t="n">
        <x:v>343.49</x:v>
      </x:c>
      <x:c r="T17" s="40" t="n">
        <x:v>46278.81434027778</x:v>
      </x:c>
      <x:c r="U17" s="32" t="str">
        <x:v>exact</x:v>
      </x:c>
      <x:c r="V17" s="32" t="str">
        <x:v>A</x:v>
      </x:c>
      <x:c r="W17" s="32" t="str">
        <x:v>Yüklü Debi_ve_Kurulu_Guc-13092026.xlsx</x:v>
      </x:c>
      <x:c r="X17" s="32" t="str">
        <x:v>Yüklü Debi_ve_Kurulu_Guc-13092026.xlsx</x:v>
      </x:c>
      <x:c r="Y17" s="32" t="str">
        <x:v>https://turkiyebarajlar.com/baraj/altinkaya</x:v>
      </x:c>
      <x:c r="Z17" s="32" t="str">
        <x:v>DERBENT HES</x:v>
      </x:c>
      <x:c r="AA17" s="101" t="str"/>
    </x:row>
    <x:row r="18" ht="30" customHeight="1">
      <x:c r="A18" s="100" t="n">
        <x:v>15</x:v>
      </x:c>
      <x:c r="B18" s="32" t="str">
        <x:v>ANDIRIN HES</x:v>
      </x:c>
      <x:c r="C18" s="32" t="str">
        <x:v>Ceyhan</x:v>
      </x:c>
      <x:c r="D18" s="32" t="str">
        <x:v>Ceyhan</x:v>
      </x:c>
      <x:c r="E18" s="34" t="n">
        <x:v>20</x:v>
      </x:c>
      <x:c r="F18" s="32" t="str">
        <x:v>https://cbs1.tarimorman.gov.tr/server/rest/services/TATUS/FeatureServer/11/query?where=ID%3D20&amp;outFields=ID%2CHAVZA_ADI%2CALAN_KM2&amp;returnGeometry=true&amp;outSR=4326&amp;f=geojson</x:v>
      </x:c>
      <x:c r="G18" s="32" t="str">
        <x:v>ANDIRIN</x:v>
      </x:c>
      <x:c r="H18" s="32" t="str">
        <x:v>KAHRAMANMARAŞ</x:v>
      </x:c>
      <x:c r="I18" s="36"/>
      <x:c r="J18" s="36"/>
      <x:c r="K18" s="38" t="n">
        <x:v>1070</x:v>
      </x:c>
      <x:c r="L18" s="38" t="n">
        <x:v>1055</x:v>
      </x:c>
      <x:c r="M18" s="32"/>
      <x:c r="N18" s="38" t="n">
        <x:v>40.5</x:v>
      </x:c>
      <x:c r="O18" s="38"/>
      <x:c r="P18" s="38"/>
      <x:c r="Q18" s="38"/>
      <x:c r="R18" s="38"/>
      <x:c r="S18" s="38"/>
      <x:c r="T18" s="40"/>
      <x:c r="U18" s="32" t="str">
        <x:v>eşleşme yok</x:v>
      </x:c>
      <x:c r="V18" s="32" t="str">
        <x:v>C</x:v>
      </x:c>
      <x:c r="W18" s="32" t="str">
        <x:v>https://www.enerjiatlasi.com/hidroelektrik/?v=1.0.24</x:v>
      </x:c>
      <x:c r="X18" s="32" t="str">
        <x:v>https://openinframap.org/stats/area/Turkey/plants?source=hydro</x:v>
      </x:c>
      <x:c r="Y18" s="32"/>
      <x:c r="Z18" s="32" t="str">
        <x:v>10</x:v>
      </x:c>
      <x:c r="AA18" s="101" t="str">
        <x:v>EPİAŞ su göstergesi eşleşmesi bulunamadı; Kaskat alanında kaynak değeri '10' (belirsiz/sentinel); Koordinat güvenilir açık kaynaktan doğrulanamadı; Ünite debisi doğrulanamadı; Maksimum/minimum hacim doğrulanamadı</x:v>
      </x:c>
    </x:row>
    <x:row r="19" ht="30" customHeight="1">
      <x:c r="A19" s="100" t="n">
        <x:v>16</x:v>
      </x:c>
      <x:c r="B19" s="32" t="str">
        <x:v>ARAÇ HES</x:v>
      </x:c>
      <x:c r="C19" s="32" t="str">
        <x:v>Batı Karadeniz</x:v>
      </x:c>
      <x:c r="D19" s="32" t="str">
        <x:v>Batı Karadeniz</x:v>
      </x:c>
      <x:c r="E19" s="34" t="n">
        <x:v>13</x:v>
      </x:c>
      <x:c r="F19" s="32" t="str">
        <x:v>https://cbs1.tarimorman.gov.tr/server/rest/services/TATUS/FeatureServer/11/query?where=ID%3D13&amp;outFields=ID%2CHAVZA_ADI%2CALAN_KM2&amp;returnGeometry=true&amp;outSR=4326&amp;f=geojson</x:v>
      </x:c>
      <x:c r="G19" s="32" t="str">
        <x:v>Araç Barajı</x:v>
      </x:c>
      <x:c r="H19" s="32" t="str">
        <x:v>KASTAMONU</x:v>
      </x:c>
      <x:c r="I19" s="36"/>
      <x:c r="J19" s="36"/>
      <x:c r="K19" s="38" t="n">
        <x:v>736</x:v>
      </x:c>
      <x:c r="L19" s="38" t="n">
        <x:v>710</x:v>
      </x:c>
      <x:c r="M19" s="32"/>
      <x:c r="N19" s="38" t="n">
        <x:v>5</x:v>
      </x:c>
      <x:c r="O19" s="38" t="n">
        <x:v>16.6</x:v>
      </x:c>
      <x:c r="P19" s="38" t="n">
        <x:v>53.43</x:v>
      </x:c>
      <x:c r="Q19" s="38" t="n">
        <x:v>7.9</x:v>
      </x:c>
      <x:c r="R19" s="38" t="n">
        <x:v>11.64</x:v>
      </x:c>
      <x:c r="S19" s="38" t="n">
        <x:v>1.32</x:v>
      </x:c>
      <x:c r="T19" s="40" t="n">
        <x:v>46278.81434027778</x:v>
      </x:c>
      <x:c r="U19" s="32" t="str">
        <x:v>exact</x:v>
      </x:c>
      <x:c r="V19" s="32" t="str">
        <x:v>B</x:v>
      </x:c>
      <x:c r="W19" s="32" t="str">
        <x:v>Yüklü Debi_ve_Kurulu_Guc-13092026.xlsx</x:v>
      </x:c>
      <x:c r="X19" s="32" t="str">
        <x:v>Yüklü Debi_ve_Kurulu_Guc-13092026.xlsx</x:v>
      </x:c>
      <x:c r="Y19" s="32"/>
      <x:c r="Z19" s="32" t="str">
        <x:v>10</x:v>
      </x:c>
      <x:c r="AA19" s="101" t="str">
        <x:v>Kaskat alanında kaynak değeri '10' (belirsiz/sentinel); Koordinat güvenilir açık kaynaktan doğrulanamadı</x:v>
      </x:c>
    </x:row>
    <x:row r="20" ht="30" customHeight="1">
      <x:c r="A20" s="100" t="n">
        <x:v>17</x:v>
      </x:c>
      <x:c r="B20" s="32" t="str">
        <x:v>ARDAHAN AKINCI HES</x:v>
      </x:c>
      <x:c r="C20" s="32" t="str">
        <x:v>Aras</x:v>
      </x:c>
      <x:c r="D20" s="32" t="str">
        <x:v>Aras</x:v>
      </x:c>
      <x:c r="E20" s="34" t="n">
        <x:v>24</x:v>
      </x:c>
      <x:c r="F20" s="32" t="str">
        <x:v>https://cbs1.tarimorman.gov.tr/server/rest/services/TATUS/FeatureServer/11/query?where=ID%3D24&amp;outFields=ID%2CHAVZA_ADI%2CALAN_KM2&amp;returnGeometry=true&amp;outSR=4326&amp;f=geojson</x:v>
      </x:c>
      <x:c r="G20" s="32" t="str">
        <x:v>ARDAHAN AKINCI</x:v>
      </x:c>
      <x:c r="H20" s="32" t="str">
        <x:v>ARDAHAN</x:v>
      </x:c>
      <x:c r="I20" s="36" t="n">
        <x:v>41.2235</x:v>
      </x:c>
      <x:c r="J20" s="36" t="n">
        <x:v>43.1035</x:v>
      </x:c>
      <x:c r="K20" s="38" t="n">
        <x:v>1577</x:v>
      </x:c>
      <x:c r="L20" s="38" t="n">
        <x:v>1550</x:v>
      </x:c>
      <x:c r="M20" s="32"/>
      <x:c r="N20" s="38" t="n">
        <x:v>84.681</x:v>
      </x:c>
      <x:c r="O20" s="38"/>
      <x:c r="P20" s="38"/>
      <x:c r="Q20" s="38"/>
      <x:c r="R20" s="38"/>
      <x:c r="S20" s="38"/>
      <x:c r="T20" s="40"/>
      <x:c r="U20" s="32" t="str">
        <x:v>eşleşme yok</x:v>
      </x:c>
      <x:c r="V20" s="32" t="str">
        <x:v>B</x:v>
      </x:c>
      <x:c r="W20" s="32" t="str">
        <x:v>https://webdosya.csb.gov.tr/db/ced/icerikler/ardahan_-cdr-2024-20250917092626.pdf</x:v>
      </x:c>
      <x:c r="X20" s="32" t="str">
        <x:v>https://webdosya.csb.gov.tr/db/ced/icerikler/ardahan_-cdr-2024-20250917092626.pdf</x:v>
      </x:c>
      <x:c r="Y20" s="32" t="str">
        <x:v>https://www.gem.wiki/Akinci_Cildir_hydroelectric_plant</x:v>
      </x:c>
      <x:c r="Z20" s="32" t="str">
        <x:v>10</x:v>
      </x:c>
      <x:c r="AA20" s="101" t="str">
        <x:v>EPİAŞ su göstergesi eşleşmesi bulunamadı; Kaskat alanında kaynak değeri '10' (belirsiz/sentinel); Koordinat güvenilir açık kaynaktan doğrulanamadı; Kurulu güç bulunamadı; Eksik kurulu güç/il bilgisi kamuya açık web kaynağıyla tamamlandı; Koordinat Global Energy Monitor kaynaklı; Ünite debisi doğrulanamadı; Maksimum/minimum hacim doğrulanamadı</x:v>
      </x:c>
    </x:row>
    <x:row r="21" ht="30" customHeight="1">
      <x:c r="A21" s="100" t="n">
        <x:v>18</x:v>
      </x:c>
      <x:c r="B21" s="32" t="str">
        <x:v>ARKUN HES</x:v>
      </x:c>
      <x:c r="C21" s="32" t="str">
        <x:v>Çoruh</x:v>
      </x:c>
      <x:c r="D21" s="32" t="str">
        <x:v>Çoruh</x:v>
      </x:c>
      <x:c r="E21" s="34" t="n">
        <x:v>23</x:v>
      </x:c>
      <x:c r="F21" s="32" t="str">
        <x:v>https://cbs1.tarimorman.gov.tr/server/rest/services/TATUS/FeatureServer/11/query?where=ID%3D23&amp;outFields=ID%2CHAVZA_ADI%2CALAN_KM2&amp;returnGeometry=true&amp;outSR=4326&amp;f=geojson</x:v>
      </x:c>
      <x:c r="G21" s="32" t="str">
        <x:v>ARKUN</x:v>
      </x:c>
      <x:c r="H21" s="32" t="str">
        <x:v>ERZURUM</x:v>
      </x:c>
      <x:c r="I21" s="36"/>
      <x:c r="J21" s="36"/>
      <x:c r="K21" s="38" t="n">
        <x:v>935</x:v>
      </x:c>
      <x:c r="L21" s="38" t="n">
        <x:v>871.5</x:v>
      </x:c>
      <x:c r="M21" s="32" t="str">
        <x:v>YUSUFELİ HES</x:v>
      </x:c>
      <x:c r="N21" s="38" t="n">
        <x:v>245</x:v>
      </x:c>
      <x:c r="O21" s="38"/>
      <x:c r="P21" s="38"/>
      <x:c r="Q21" s="38"/>
      <x:c r="R21" s="38"/>
      <x:c r="S21" s="38"/>
      <x:c r="T21" s="40"/>
      <x:c r="U21" s="32" t="str">
        <x:v>eşleşme yok</x:v>
      </x:c>
      <x:c r="V21" s="32" t="str">
        <x:v>C</x:v>
      </x:c>
      <x:c r="W21" s="32" t="str">
        <x:v>https://www.enerjiatlasi.com/hidroelektrik/?v=1.0.24</x:v>
      </x:c>
      <x:c r="X21" s="32" t="str">
        <x:v>https://openinframap.org/stats/area/Turkey/plants?source=hydro</x:v>
      </x:c>
      <x:c r="Y21" s="32"/>
      <x:c r="Z21" s="32" t="str">
        <x:v>YUSUFELİ HES</x:v>
      </x:c>
      <x:c r="AA21" s="101" t="str">
        <x:v>EPİAŞ su göstergesi eşleşmesi bulunamadı; Koordinat güvenilir açık kaynaktan doğrulanamadı; Ünite debisi doğrulanamadı; Maksimum/minimum hacim doğrulanamadı</x:v>
      </x:c>
    </x:row>
    <x:row r="22" ht="30" customHeight="1">
      <x:c r="A22" s="100" t="n">
        <x:v>19</x:v>
      </x:c>
      <x:c r="B22" s="32" t="str">
        <x:v>ARTVİN HES</x:v>
      </x:c>
      <x:c r="C22" s="32" t="str">
        <x:v>Çoruh</x:v>
      </x:c>
      <x:c r="D22" s="32" t="str">
        <x:v>Çoruh</x:v>
      </x:c>
      <x:c r="E22" s="34" t="n">
        <x:v>23</x:v>
      </x:c>
      <x:c r="F22" s="32" t="str">
        <x:v>https://cbs1.tarimorman.gov.tr/server/rest/services/TATUS/FeatureServer/11/query?where=ID%3D23&amp;outFields=ID%2CHAVZA_ADI%2CALAN_KM2&amp;returnGeometry=true&amp;outSR=4326&amp;f=geojson</x:v>
      </x:c>
      <x:c r="G22" s="32" t="str">
        <x:v>ARTVİN</x:v>
      </x:c>
      <x:c r="H22" s="32" t="str">
        <x:v>ARTVİN</x:v>
      </x:c>
      <x:c r="I22" s="36"/>
      <x:c r="J22" s="36"/>
      <x:c r="K22" s="38" t="n">
        <x:v>500.5</x:v>
      </x:c>
      <x:c r="L22" s="38" t="n">
        <x:v>498</x:v>
      </x:c>
      <x:c r="M22" s="32" t="str">
        <x:v>DERİNER HES</x:v>
      </x:c>
      <x:c r="N22" s="38" t="n">
        <x:v>332</x:v>
      </x:c>
      <x:c r="O22" s="38"/>
      <x:c r="P22" s="38"/>
      <x:c r="Q22" s="38"/>
      <x:c r="R22" s="38"/>
      <x:c r="S22" s="38"/>
      <x:c r="T22" s="40"/>
      <x:c r="U22" s="32" t="str">
        <x:v>eşleşme yok</x:v>
      </x:c>
      <x:c r="V22" s="32" t="str">
        <x:v>C</x:v>
      </x:c>
      <x:c r="W22" s="32" t="str">
        <x:v>https://openinframap.org/stats/area/Turkey/plants?source=hydro</x:v>
      </x:c>
      <x:c r="X22" s="32" t="str">
        <x:v>https://openinframap.org/stats/area/Turkey/plants?source=hydro</x:v>
      </x:c>
      <x:c r="Y22" s="32"/>
      <x:c r="Z22" s="32" t="str">
        <x:v>DERİNER HES</x:v>
      </x:c>
      <x:c r="AA22" s="101" t="str">
        <x:v>EPİAŞ su göstergesi eşleşmesi bulunamadı; Koordinat güvenilir açık kaynaktan doğrulanamadı; Ünite debisi doğrulanamadı; Maksimum/minimum hacim doğrulanamadı</x:v>
      </x:c>
    </x:row>
    <x:row r="23" ht="30" customHeight="1">
      <x:c r="A23" s="100" t="n">
        <x:v>20</x:v>
      </x:c>
      <x:c r="B23" s="32" t="str">
        <x:v>ASLANCIK HES</x:v>
      </x:c>
      <x:c r="C23" s="32" t="str">
        <x:v>Doğu Karadeniz</x:v>
      </x:c>
      <x:c r="D23" s="32" t="str">
        <x:v>Doğu Karadeniz</x:v>
      </x:c>
      <x:c r="E23" s="34" t="n">
        <x:v>22</x:v>
      </x:c>
      <x:c r="F23" s="32" t="str">
        <x:v>https://cbs1.tarimorman.gov.tr/server/rest/services/TATUS/FeatureServer/11/query?where=ID%3D22&amp;outFields=ID%2CHAVZA_ADI%2CALAN_KM2&amp;returnGeometry=true&amp;outSR=4326&amp;f=geojson</x:v>
      </x:c>
      <x:c r="G23" s="32" t="str">
        <x:v>ASLANCIK</x:v>
      </x:c>
      <x:c r="H23" s="32" t="str">
        <x:v>GİRESUN</x:v>
      </x:c>
      <x:c r="I23" s="36"/>
      <x:c r="J23" s="36"/>
      <x:c r="K23" s="38" t="n">
        <x:v>183</x:v>
      </x:c>
      <x:c r="L23" s="38" t="n">
        <x:v>180</x:v>
      </x:c>
      <x:c r="M23" s="32"/>
      <x:c r="N23" s="38" t="n">
        <x:v>98</x:v>
      </x:c>
      <x:c r="O23" s="38"/>
      <x:c r="P23" s="38"/>
      <x:c r="Q23" s="38"/>
      <x:c r="R23" s="38"/>
      <x:c r="S23" s="38"/>
      <x:c r="T23" s="40"/>
      <x:c r="U23" s="32" t="str">
        <x:v>eşleşme yok</x:v>
      </x:c>
      <x:c r="V23" s="32" t="str">
        <x:v>C</x:v>
      </x:c>
      <x:c r="W23" s="32" t="str">
        <x:v>https://www.enerjiatlasi.com/hidroelektrik/?v=1.0.24</x:v>
      </x:c>
      <x:c r="X23" s="32" t="str">
        <x:v>https://openinframap.org/stats/area/Turkey/plants?source=hydro</x:v>
      </x:c>
      <x:c r="Y23" s="32"/>
      <x:c r="Z23" s="32" t="str">
        <x:v>10</x:v>
      </x:c>
      <x:c r="AA23" s="101" t="str">
        <x:v>EPİAŞ su göstergesi eşleşmesi bulunamadı; Kaskat alanında kaynak değeri '10' (belirsiz/sentinel); Koordinat güvenilir açık kaynaktan doğrulanamadı; Ünite debisi doğrulanamadı; Maksimum/minimum hacim doğrulanamadı</x:v>
      </x:c>
    </x:row>
    <x:row r="24" ht="30" customHeight="1">
      <x:c r="A24" s="100" t="n">
        <x:v>21</x:v>
      </x:c>
      <x:c r="B24" s="32" t="str">
        <x:v>ASLANDAĞI HES</x:v>
      </x:c>
      <x:c r="C24" s="32" t="str">
        <x:v>Van Gölü</x:v>
      </x:c>
      <x:c r="D24" s="32" t="str">
        <x:v>Van Gölü</x:v>
      </x:c>
      <x:c r="E24" s="34" t="n">
        <x:v>25</x:v>
      </x:c>
      <x:c r="F24" s="32" t="str">
        <x:v>https://cbs1.tarimorman.gov.tr/server/rest/services/TATUS/FeatureServer/11/query?where=ID%3D25&amp;outFields=ID%2CHAVZA_ADI%2CALAN_KM2&amp;returnGeometry=true&amp;outSR=4326&amp;f=geojson</x:v>
      </x:c>
      <x:c r="G24" s="32" t="str">
        <x:v>ASLANDAĞI</x:v>
      </x:c>
      <x:c r="H24" s="32" t="str">
        <x:v>HAKKARİ</x:v>
      </x:c>
      <x:c r="I24" s="36"/>
      <x:c r="J24" s="36"/>
      <x:c r="K24" s="38" t="n">
        <x:v>1320.5</x:v>
      </x:c>
      <x:c r="L24" s="38" t="n">
        <x:v>1315</x:v>
      </x:c>
      <x:c r="M24" s="32"/>
      <x:c r="N24" s="38" t="n">
        <x:v>19.16</x:v>
      </x:c>
      <x:c r="O24" s="38"/>
      <x:c r="P24" s="38"/>
      <x:c r="Q24" s="38"/>
      <x:c r="R24" s="38"/>
      <x:c r="S24" s="38"/>
      <x:c r="T24" s="40"/>
      <x:c r="U24" s="32" t="str">
        <x:v>eşleşme yok</x:v>
      </x:c>
      <x:c r="V24" s="32" t="str">
        <x:v>C</x:v>
      </x:c>
      <x:c r="W24" s="32" t="str">
        <x:v>https://webdosya.csb.gov.tr/db/ced/icerikler/hakkar-_-cdr2022-20230829101004.pdf</x:v>
      </x:c>
      <x:c r="X24" s="32" t="str">
        <x:v>https://openinframap.org/stats/area/Turkey/plants?source=hydro</x:v>
      </x:c>
      <x:c r="Y24" s="32"/>
      <x:c r="Z24" s="32" t="str">
        <x:v>10</x:v>
      </x:c>
      <x:c r="AA24" s="101" t="str">
        <x:v>EPİAŞ su göstergesi eşleşmesi bulunamadı; Kaskat alanında kaynak değeri '10' (belirsiz/sentinel); Koordinat güvenilir açık kaynaktan doğrulanamadı; Ünite debisi doğrulanamadı; Maksimum/minimum hacim doğrulanamadı</x:v>
      </x:c>
    </x:row>
    <x:row r="25" ht="30" customHeight="1">
      <x:c r="A25" s="100" t="n">
        <x:v>22</x:v>
      </x:c>
      <x:c r="B25" s="32" t="str">
        <x:v>ASLANTAŞ HES</x:v>
      </x:c>
      <x:c r="C25" s="32" t="str">
        <x:v>Ceyhan</x:v>
      </x:c>
      <x:c r="D25" s="32" t="str">
        <x:v>Ceyhan</x:v>
      </x:c>
      <x:c r="E25" s="34" t="n">
        <x:v>20</x:v>
      </x:c>
      <x:c r="F25" s="32" t="str">
        <x:v>https://cbs1.tarimorman.gov.tr/server/rest/services/TATUS/FeatureServer/11/query?where=ID%3D20&amp;outFields=ID%2CHAVZA_ADI%2CALAN_KM2&amp;returnGeometry=true&amp;outSR=4326&amp;f=geojson</x:v>
      </x:c>
      <x:c r="G25" s="32" t="str">
        <x:v>ASLANTAŞ</x:v>
      </x:c>
      <x:c r="H25" s="32" t="str">
        <x:v>ADANA</x:v>
      </x:c>
      <x:c r="I25" s="36" t="n">
        <x:v>37.2729</x:v>
      </x:c>
      <x:c r="J25" s="36" t="n">
        <x:v>36.27156</x:v>
      </x:c>
      <x:c r="K25" s="38" t="n">
        <x:v>155</x:v>
      </x:c>
      <x:c r="L25" s="38" t="n">
        <x:v>130</x:v>
      </x:c>
      <x:c r="M25" s="32"/>
      <x:c r="N25" s="38" t="n">
        <x:v>138</x:v>
      </x:c>
      <x:c r="O25" s="38" t="n">
        <x:v>270</x:v>
      </x:c>
      <x:c r="P25" s="38" t="n">
        <x:v>1515.48</x:v>
      </x:c>
      <x:c r="Q25" s="38" t="n">
        <x:v>418.08</x:v>
      </x:c>
      <x:c r="R25" s="38" t="n">
        <x:v>669.47</x:v>
      </x:c>
      <x:c r="S25" s="38" t="n">
        <x:v>109.53</x:v>
      </x:c>
      <x:c r="T25" s="40" t="n">
        <x:v>46278.81434027778</x:v>
      </x:c>
      <x:c r="U25" s="32" t="str">
        <x:v>exact</x:v>
      </x:c>
      <x:c r="V25" s="32" t="str">
        <x:v>A</x:v>
      </x:c>
      <x:c r="W25" s="32" t="str">
        <x:v>Yüklü Debi_ve_Kurulu_Guc-13092026.xlsx</x:v>
      </x:c>
      <x:c r="X25" s="32" t="str">
        <x:v>Yüklü Debi_ve_Kurulu_Guc-13092026.xlsx</x:v>
      </x:c>
      <x:c r="Y25" s="32" t="str">
        <x:v>https://cbs1.tarimorman.gov.tr/server/rest/services/TATUS/FeatureServer/7</x:v>
      </x:c>
      <x:c r="Z25" s="32" t="str">
        <x:v>10</x:v>
      </x:c>
      <x:c r="AA25" s="101" t="str">
        <x:v>Kaskat alanında kaynak değeri '10' (belirsiz/sentinel)</x:v>
      </x:c>
    </x:row>
    <x:row r="26" ht="30" customHeight="1">
      <x:c r="A26" s="100" t="n">
        <x:v>23</x:v>
      </x:c>
      <x:c r="B26" s="32" t="str">
        <x:v>AŞAĞI KALEKÖY HES</x:v>
      </x:c>
      <x:c r="C26" s="32" t="str">
        <x:v>Fırat Dicle</x:v>
      </x:c>
      <x:c r="D26" s="32" t="str">
        <x:v>Fırat-Dicle</x:v>
      </x:c>
      <x:c r="E26" s="34" t="n">
        <x:v>21</x:v>
      </x:c>
      <x:c r="F26" s="32" t="str">
        <x:v>https://cbs1.tarimorman.gov.tr/server/rest/services/TATUS/FeatureServer/11/query?where=ID%3D21&amp;outFields=ID%2CHAVZA_ADI%2CALAN_KM2&amp;returnGeometry=true&amp;outSR=4326&amp;f=geojson</x:v>
      </x:c>
      <x:c r="G26" s="32" t="str">
        <x:v>AŞAĞI KALEKÖY</x:v>
      </x:c>
      <x:c r="H26" s="32" t="str">
        <x:v>BİNGÖL</x:v>
      </x:c>
      <x:c r="I26" s="36"/>
      <x:c r="J26" s="36"/>
      <x:c r="K26" s="38" t="n">
        <x:v>1102.5</x:v>
      </x:c>
      <x:c r="L26" s="38" t="n">
        <x:v>1085</x:v>
      </x:c>
      <x:c r="M26" s="32" t="str">
        <x:v>BEYHAN1 HES</x:v>
      </x:c>
      <x:c r="N26" s="38" t="n">
        <x:v>500</x:v>
      </x:c>
      <x:c r="O26" s="38"/>
      <x:c r="P26" s="38"/>
      <x:c r="Q26" s="38"/>
      <x:c r="R26" s="38"/>
      <x:c r="S26" s="38"/>
      <x:c r="T26" s="40"/>
      <x:c r="U26" s="32" t="str">
        <x:v>eşleşme yok</x:v>
      </x:c>
      <x:c r="V26" s="32" t="str">
        <x:v>C</x:v>
      </x:c>
      <x:c r="W26" s="32" t="str">
        <x:v>https://openinframap.org/stats/area/Turkey/plants?source=hydro</x:v>
      </x:c>
      <x:c r="X26" s="32" t="str">
        <x:v>https://openinframap.org/stats/area/Turkey/plants?source=hydro</x:v>
      </x:c>
      <x:c r="Y26" s="32"/>
      <x:c r="Z26" s="32" t="str">
        <x:v>BEYHAN1 HES</x:v>
      </x:c>
      <x:c r="AA26" s="101" t="str">
        <x:v>EPİAŞ su göstergesi eşleşmesi bulunamadı; Koordinat güvenilir açık kaynaktan doğrulanamadı; Ünite debisi doğrulanamadı; Maksimum/minimum hacim doğrulanamadı</x:v>
      </x:c>
    </x:row>
    <x:row r="27" ht="30" customHeight="1">
      <x:c r="A27" s="100" t="n">
        <x:v>24</x:v>
      </x:c>
      <x:c r="B27" s="32" t="str">
        <x:v>ATAKÖY HES</x:v>
      </x:c>
      <x:c r="C27" s="32" t="str">
        <x:v>Yeşilırmak</x:v>
      </x:c>
      <x:c r="D27" s="32" t="str">
        <x:v>Yeşilırmak</x:v>
      </x:c>
      <x:c r="E27" s="34" t="n">
        <x:v>14</x:v>
      </x:c>
      <x:c r="F27" s="32" t="str">
        <x:v>https://cbs1.tarimorman.gov.tr/server/rest/services/TATUS/FeatureServer/11/query?where=ID%3D14&amp;outFields=ID%2CHAVZA_ADI%2CALAN_KM2&amp;returnGeometry=true&amp;outSR=4326&amp;f=geojson</x:v>
      </x:c>
      <x:c r="G27" s="32" t="str">
        <x:v>ATAKÖY</x:v>
      </x:c>
      <x:c r="H27" s="32" t="str">
        <x:v>TOKAT</x:v>
      </x:c>
      <x:c r="I27" s="36" t="n">
        <x:v>40.42512</x:v>
      </x:c>
      <x:c r="J27" s="36" t="n">
        <x:v>36.88133</x:v>
      </x:c>
      <x:c r="K27" s="38" t="n">
        <x:v>733.5</x:v>
      </x:c>
      <x:c r="L27" s="38" t="n">
        <x:v>729.75</x:v>
      </x:c>
      <x:c r="M27" s="32"/>
      <x:c r="N27" s="38" t="n">
        <x:v>5.5</x:v>
      </x:c>
      <x:c r="O27" s="38" t="n">
        <x:v>27.1</x:v>
      </x:c>
      <x:c r="P27" s="38" t="n">
        <x:v>1.93</x:v>
      </x:c>
      <x:c r="Q27" s="38" t="n">
        <x:v>0.82</x:v>
      </x:c>
      <x:c r="R27" s="38" t="n">
        <x:v>1.06</x:v>
      </x:c>
      <x:c r="S27" s="38" t="n">
        <x:v>0.04</x:v>
      </x:c>
      <x:c r="T27" s="40" t="n">
        <x:v>46278.81434027778</x:v>
      </x:c>
      <x:c r="U27" s="32" t="str">
        <x:v>exact</x:v>
      </x:c>
      <x:c r="V27" s="32" t="str">
        <x:v>A</x:v>
      </x:c>
      <x:c r="W27" s="32" t="str">
        <x:v>Yüklü Debi_ve_Kurulu_Guc-13092026.xlsx</x:v>
      </x:c>
      <x:c r="X27" s="32" t="str">
        <x:v>Yüklü Debi_ve_Kurulu_Guc-13092026.xlsx</x:v>
      </x:c>
      <x:c r="Y27" s="32" t="str">
        <x:v>https://cbs1.tarimorman.gov.tr/server/rest/services/TATUS/FeatureServer/7</x:v>
      </x:c>
      <x:c r="Z27" s="32" t="str">
        <x:v>10</x:v>
      </x:c>
      <x:c r="AA27" s="101" t="str">
        <x:v>Kaskat alanında kaynak değeri '10' (belirsiz/sentinel)</x:v>
      </x:c>
    </x:row>
    <x:row r="28" ht="30" customHeight="1">
      <x:c r="A28" s="100" t="n">
        <x:v>25</x:v>
      </x:c>
      <x:c r="B28" s="32" t="str">
        <x:v>ATATÜRK HES</x:v>
      </x:c>
      <x:c r="C28" s="32" t="str">
        <x:v>Fırat Dicle</x:v>
      </x:c>
      <x:c r="D28" s="32" t="str">
        <x:v>Fırat-Dicle</x:v>
      </x:c>
      <x:c r="E28" s="34" t="n">
        <x:v>21</x:v>
      </x:c>
      <x:c r="F28" s="32" t="str">
        <x:v>https://cbs1.tarimorman.gov.tr/server/rest/services/TATUS/FeatureServer/11/query?where=ID%3D21&amp;outFields=ID%2CHAVZA_ADI%2CALAN_KM2&amp;returnGeometry=true&amp;outSR=4326&amp;f=geojson</x:v>
      </x:c>
      <x:c r="G28" s="32" t="str">
        <x:v>ATATÜRK</x:v>
      </x:c>
      <x:c r="H28" s="32" t="str">
        <x:v>ŞANLIURFA</x:v>
      </x:c>
      <x:c r="I28" s="36" t="n">
        <x:v>37.481667</x:v>
      </x:c>
      <x:c r="J28" s="36" t="n">
        <x:v>38.3175</x:v>
      </x:c>
      <x:c r="K28" s="38" t="n">
        <x:v>542</x:v>
      </x:c>
      <x:c r="L28" s="38" t="n">
        <x:v>526</x:v>
      </x:c>
      <x:c r="M28" s="32" t="str">
        <x:v>BİRECİK-NİZİP HES</x:v>
      </x:c>
      <x:c r="N28" s="38" t="n">
        <x:v>2405</x:v>
      </x:c>
      <x:c r="O28" s="38"/>
      <x:c r="P28" s="38"/>
      <x:c r="Q28" s="38"/>
      <x:c r="R28" s="38"/>
      <x:c r="S28" s="38"/>
      <x:c r="T28" s="40"/>
      <x:c r="U28" s="32" t="str">
        <x:v>eşleşme yok</x:v>
      </x:c>
      <x:c r="V28" s="32" t="str">
        <x:v>B</x:v>
      </x:c>
      <x:c r="W28" s="32" t="str">
        <x:v>https://openinframap.org/stats/area/Turkey/plants?source=hydro</x:v>
      </x:c>
      <x:c r="X28" s="32" t="str">
        <x:v>https://openinframap.org/stats/area/Turkey/plants?source=hydro</x:v>
      </x:c>
      <x:c r="Y28" s="32" t="str">
        <x:v>https://www.wikidata.org/wiki/Q753776</x:v>
      </x:c>
      <x:c r="Z28" s="32" t="str">
        <x:v>BİRECİK-NİZİP HES</x:v>
      </x:c>
      <x:c r="AA28" s="101" t="str">
        <x:v>EPİAŞ su göstergesi eşleşmesi bulunamadı; Ünite debisi doğrulanamadı; Maksimum/minimum hacim doğrulanamadı</x:v>
      </x:c>
    </x:row>
    <x:row r="29" ht="30" customHeight="1">
      <x:c r="A29" s="100" t="n">
        <x:v>26</x:v>
      </x:c>
      <x:c r="B29" s="32" t="str">
        <x:v>AYVALI HES</x:v>
      </x:c>
      <x:c r="C29" s="32" t="str">
        <x:v>Çoruh</x:v>
      </x:c>
      <x:c r="D29" s="32" t="str">
        <x:v>Çoruh</x:v>
      </x:c>
      <x:c r="E29" s="34" t="n">
        <x:v>23</x:v>
      </x:c>
      <x:c r="F29" s="32" t="str">
        <x:v>https://cbs1.tarimorman.gov.tr/server/rest/services/TATUS/FeatureServer/11/query?where=ID%3D23&amp;outFields=ID%2CHAVZA_ADI%2CALAN_KM2&amp;returnGeometry=true&amp;outSR=4326&amp;f=geojson</x:v>
      </x:c>
      <x:c r="G29" s="32" t="str">
        <x:v>AYVALI</x:v>
      </x:c>
      <x:c r="H29" s="32" t="str">
        <x:v>ERZURUM</x:v>
      </x:c>
      <x:c r="I29" s="36"/>
      <x:c r="J29" s="36"/>
      <x:c r="K29" s="38" t="n">
        <x:v>930</x:v>
      </x:c>
      <x:c r="L29" s="38" t="n">
        <x:v>908</x:v>
      </x:c>
      <x:c r="M29" s="32" t="str">
        <x:v>YUSUFELİ HES</x:v>
      </x:c>
      <x:c r="N29" s="38" t="n">
        <x:v>122</x:v>
      </x:c>
      <x:c r="O29" s="38"/>
      <x:c r="P29" s="38"/>
      <x:c r="Q29" s="38"/>
      <x:c r="R29" s="38"/>
      <x:c r="S29" s="38"/>
      <x:c r="T29" s="40"/>
      <x:c r="U29" s="32" t="str">
        <x:v>eşleşme yok</x:v>
      </x:c>
      <x:c r="V29" s="32" t="str">
        <x:v>C</x:v>
      </x:c>
      <x:c r="W29" s="32" t="str">
        <x:v>https://www.enerjiatlasi.com/hidroelektrik/?v=1.0.24</x:v>
      </x:c>
      <x:c r="X29" s="32" t="str">
        <x:v>https://openinframap.org/stats/area/Turkey/plants?source=hydro</x:v>
      </x:c>
      <x:c r="Y29" s="32"/>
      <x:c r="Z29" s="32" t="str">
        <x:v>YUSUFELİ HES</x:v>
      </x:c>
      <x:c r="AA29" s="101" t="str">
        <x:v>EPİAŞ su göstergesi eşleşmesi bulunamadı; Koordinat güvenilir açık kaynaktan doğrulanamadı; Ünite debisi doğrulanamadı; Maksimum/minimum hacim doğrulanamadı</x:v>
      </x:c>
    </x:row>
    <x:row r="30" ht="30" customHeight="1">
      <x:c r="A30" s="100" t="n">
        <x:v>27</x:v>
      </x:c>
      <x:c r="B30" s="32" t="str">
        <x:v>BAĞIŞTAŞ1 HES</x:v>
      </x:c>
      <x:c r="C30" s="32" t="str">
        <x:v>Fırat Dicle</x:v>
      </x:c>
      <x:c r="D30" s="32" t="str">
        <x:v>Fırat-Dicle</x:v>
      </x:c>
      <x:c r="E30" s="34" t="n">
        <x:v>21</x:v>
      </x:c>
      <x:c r="F30" s="32" t="str">
        <x:v>https://cbs1.tarimorman.gov.tr/server/rest/services/TATUS/FeatureServer/11/query?where=ID%3D21&amp;outFields=ID%2CHAVZA_ADI%2CALAN_KM2&amp;returnGeometry=true&amp;outSR=4326&amp;f=geojson</x:v>
      </x:c>
      <x:c r="G30" s="32" t="str">
        <x:v>BAĞIŞTAŞ1</x:v>
      </x:c>
      <x:c r="H30" s="32" t="str">
        <x:v>ERZİNCAN</x:v>
      </x:c>
      <x:c r="I30" s="36"/>
      <x:c r="J30" s="36"/>
      <x:c r="K30" s="38" t="n">
        <x:v>915</x:v>
      </x:c>
      <x:c r="L30" s="38" t="n">
        <x:v>912.5</x:v>
      </x:c>
      <x:c r="M30" s="32" t="str">
        <x:v>BAĞIŞTAŞ2 HES</x:v>
      </x:c>
      <x:c r="N30" s="38" t="n">
        <x:v>141</x:v>
      </x:c>
      <x:c r="O30" s="38"/>
      <x:c r="P30" s="38"/>
      <x:c r="Q30" s="38"/>
      <x:c r="R30" s="38"/>
      <x:c r="S30" s="38"/>
      <x:c r="T30" s="40"/>
      <x:c r="U30" s="32" t="str">
        <x:v>eşleşme yok</x:v>
      </x:c>
      <x:c r="V30" s="32" t="str">
        <x:v>C</x:v>
      </x:c>
      <x:c r="W30" s="32" t="str">
        <x:v>https://www.enerjiatlasi.com/hidroelektrik/?v=1.0.24</x:v>
      </x:c>
      <x:c r="X30" s="32" t="str">
        <x:v>https://openinframap.org/stats/area/Turkey/plants?source=hydro</x:v>
      </x:c>
      <x:c r="Y30" s="32"/>
      <x:c r="Z30" s="32" t="str">
        <x:v>BAĞIŞTAŞ2 HES</x:v>
      </x:c>
      <x:c r="AA30" s="101" t="str">
        <x:v>EPİAŞ su göstergesi eşleşmesi bulunamadı; Koordinat güvenilir açık kaynaktan doğrulanamadı; Ünite debisi doğrulanamadı; Maksimum/minimum hacim doğrulanamadı</x:v>
      </x:c>
    </x:row>
    <x:row r="31" ht="30" customHeight="1">
      <x:c r="A31" s="100" t="n">
        <x:v>28</x:v>
      </x:c>
      <x:c r="B31" s="32" t="str">
        <x:v>BAĞIŞTAŞ2 HES</x:v>
      </x:c>
      <x:c r="C31" s="32" t="str">
        <x:v>Fırat Dicle</x:v>
      </x:c>
      <x:c r="D31" s="32" t="str">
        <x:v>Fırat-Dicle</x:v>
      </x:c>
      <x:c r="E31" s="34" t="n">
        <x:v>21</x:v>
      </x:c>
      <x:c r="F31" s="32" t="str">
        <x:v>https://cbs1.tarimorman.gov.tr/server/rest/services/TATUS/FeatureServer/11/query?where=ID%3D21&amp;outFields=ID%2CHAVZA_ADI%2CALAN_KM2&amp;returnGeometry=true&amp;outSR=4326&amp;f=geojson</x:v>
      </x:c>
      <x:c r="G31" s="32" t="str">
        <x:v>BAĞIŞTAŞ2</x:v>
      </x:c>
      <x:c r="H31" s="32" t="str">
        <x:v>ERZİNCAN</x:v>
      </x:c>
      <x:c r="I31" s="36"/>
      <x:c r="J31" s="36"/>
      <x:c r="K31" s="38" t="n">
        <x:v>865</x:v>
      </x:c>
      <x:c r="L31" s="38" t="n">
        <x:v>861.5</x:v>
      </x:c>
      <x:c r="M31" s="32" t="str">
        <x:v>KEBAN HES</x:v>
      </x:c>
      <x:c r="N31" s="38" t="n">
        <x:v>48.6</x:v>
      </x:c>
      <x:c r="O31" s="38"/>
      <x:c r="P31" s="38"/>
      <x:c r="Q31" s="38"/>
      <x:c r="R31" s="38"/>
      <x:c r="S31" s="38"/>
      <x:c r="T31" s="40"/>
      <x:c r="U31" s="32" t="str">
        <x:v>eşleşme yok</x:v>
      </x:c>
      <x:c r="V31" s="32" t="str">
        <x:v>C</x:v>
      </x:c>
      <x:c r="W31" s="32" t="str">
        <x:v>https://www.enerjiatlasi.com/hidroelektrik/?v=1.0.24</x:v>
      </x:c>
      <x:c r="X31" s="32" t="str">
        <x:v>https://openinframap.org/stats/area/Turkey/plants?source=hydro</x:v>
      </x:c>
      <x:c r="Y31" s="32"/>
      <x:c r="Z31" s="32" t="str">
        <x:v>KEBAN HES</x:v>
      </x:c>
      <x:c r="AA31" s="101" t="str">
        <x:v>EPİAŞ su göstergesi eşleşmesi bulunamadı; Koordinat güvenilir açık kaynaktan doğrulanamadı; Ünite debisi doğrulanamadı; Maksimum/minimum hacim doğrulanamadı</x:v>
      </x:c>
    </x:row>
    <x:row r="32" ht="30" customHeight="1">
      <x:c r="A32" s="100" t="n">
        <x:v>29</x:v>
      </x:c>
      <x:c r="B32" s="32" t="str">
        <x:v>BAHÇELİK HES</x:v>
      </x:c>
      <x:c r="C32" s="32" t="str">
        <x:v>Seyhan</x:v>
      </x:c>
      <x:c r="D32" s="32" t="str">
        <x:v>Seyhan</x:v>
      </x:c>
      <x:c r="E32" s="34" t="n">
        <x:v>18</x:v>
      </x:c>
      <x:c r="F32" s="32" t="str">
        <x:v>https://cbs1.tarimorman.gov.tr/server/rest/services/TATUS/FeatureServer/11/query?where=ID%3D18&amp;outFields=ID%2CHAVZA_ADI%2CALAN_KM2&amp;returnGeometry=true&amp;outSR=4326&amp;f=geojson</x:v>
      </x:c>
      <x:c r="G32" s="32" t="str">
        <x:v>BAHÇELİK</x:v>
      </x:c>
      <x:c r="H32" s="32" t="str">
        <x:v>KAYSERİ</x:v>
      </x:c>
      <x:c r="I32" s="36"/>
      <x:c r="J32" s="36"/>
      <x:c r="K32" s="38" t="n">
        <x:v>1500</x:v>
      </x:c>
      <x:c r="L32" s="38" t="n">
        <x:v>1472</x:v>
      </x:c>
      <x:c r="M32" s="32"/>
      <x:c r="N32" s="38" t="n">
        <x:v>4</x:v>
      </x:c>
      <x:c r="O32" s="38" t="n">
        <x:v>10</x:v>
      </x:c>
      <x:c r="P32" s="38" t="n">
        <x:v>210</x:v>
      </x:c>
      <x:c r="Q32" s="38" t="n">
        <x:v>28</x:v>
      </x:c>
      <x:c r="R32" s="38" t="n">
        <x:v>101.92</x:v>
      </x:c>
      <x:c r="S32" s="38" t="n">
        <x:v>9.92</x:v>
      </x:c>
      <x:c r="T32" s="40" t="n">
        <x:v>46278.81434027778</x:v>
      </x:c>
      <x:c r="U32" s="32" t="str">
        <x:v>exact</x:v>
      </x:c>
      <x:c r="V32" s="32" t="str">
        <x:v>B</x:v>
      </x:c>
      <x:c r="W32" s="32" t="str">
        <x:v>Yüklü Debi_ve_Kurulu_Guc-13092026.xlsx</x:v>
      </x:c>
      <x:c r="X32" s="32" t="str">
        <x:v>Yüklü Debi_ve_Kurulu_Guc-13092026.xlsx</x:v>
      </x:c>
      <x:c r="Y32" s="32"/>
      <x:c r="Z32" s="32" t="str">
        <x:v>10</x:v>
      </x:c>
      <x:c r="AA32" s="101" t="str">
        <x:v>Kaskat alanında kaynak değeri '10' (belirsiz/sentinel); Koordinat güvenilir açık kaynaktan doğrulanamadı</x:v>
      </x:c>
    </x:row>
    <x:row r="33" ht="30" customHeight="1">
      <x:c r="A33" s="100" t="n">
        <x:v>30</x:v>
      </x:c>
      <x:c r="B33" s="32" t="str">
        <x:v>BALKUSAN HES</x:v>
      </x:c>
      <x:c r="C33" s="32" t="str">
        <x:v>Doğu Akdeniz</x:v>
      </x:c>
      <x:c r="D33" s="32" t="str">
        <x:v>Doğu Akdeniz</x:v>
      </x:c>
      <x:c r="E33" s="34" t="n">
        <x:v>17</x:v>
      </x:c>
      <x:c r="F33" s="32" t="str">
        <x:v>https://cbs1.tarimorman.gov.tr/server/rest/services/TATUS/FeatureServer/11/query?where=ID%3D17&amp;outFields=ID%2CHAVZA_ADI%2CALAN_KM2&amp;returnGeometry=true&amp;outSR=4326&amp;f=geojson</x:v>
      </x:c>
      <x:c r="G33" s="32" t="str">
        <x:v>BALKUSAN</x:v>
      </x:c>
      <x:c r="H33" s="32" t="str">
        <x:v>KARAMAN</x:v>
      </x:c>
      <x:c r="I33" s="36"/>
      <x:c r="J33" s="36"/>
      <x:c r="K33" s="38" t="n">
        <x:v>1485</x:v>
      </x:c>
      <x:c r="L33" s="38" t="n">
        <x:v>1465.6</x:v>
      </x:c>
      <x:c r="M33" s="32"/>
      <x:c r="N33" s="38" t="n">
        <x:v>10</x:v>
      </x:c>
      <x:c r="O33" s="38" t="n">
        <x:v>4.1</x:v>
      </x:c>
      <x:c r="P33" s="38" t="n">
        <x:v>14.99</x:v>
      </x:c>
      <x:c r="Q33" s="38" t="n">
        <x:v>2.33</x:v>
      </x:c>
      <x:c r="R33" s="38" t="n">
        <x:v>7.95</x:v>
      </x:c>
      <x:c r="S33" s="38" t="n">
        <x:v>7.61</x:v>
      </x:c>
      <x:c r="T33" s="40" t="n">
        <x:v>46278.81434027778</x:v>
      </x:c>
      <x:c r="U33" s="32" t="str">
        <x:v>exact</x:v>
      </x:c>
      <x:c r="V33" s="32" t="str">
        <x:v>B</x:v>
      </x:c>
      <x:c r="W33" s="32" t="str">
        <x:v>Yüklü Debi_ve_Kurulu_Guc-13092026.xlsx</x:v>
      </x:c>
      <x:c r="X33" s="32" t="str">
        <x:v>Yüklü Debi_ve_Kurulu_Guc-13092026.xlsx</x:v>
      </x:c>
      <x:c r="Y33" s="32"/>
      <x:c r="Z33" s="32" t="str">
        <x:v>10</x:v>
      </x:c>
      <x:c r="AA33" s="101" t="str">
        <x:v>Kaskat alanında kaynak değeri '10' (belirsiz/sentinel); Koordinat güvenilir açık kaynaktan doğrulanamadı</x:v>
      </x:c>
    </x:row>
    <x:row r="34" ht="30" customHeight="1">
      <x:c r="A34" s="100" t="n">
        <x:v>31</x:v>
      </x:c>
      <x:c r="B34" s="32" t="str">
        <x:v>BALLI HES</x:v>
      </x:c>
      <x:c r="C34" s="32" t="str">
        <x:v>Fırat Dicle</x:v>
      </x:c>
      <x:c r="D34" s="32" t="str">
        <x:v>Fırat-Dicle</x:v>
      </x:c>
      <x:c r="E34" s="34" t="n">
        <x:v>21</x:v>
      </x:c>
      <x:c r="F34" s="32" t="str">
        <x:v>https://cbs1.tarimorman.gov.tr/server/rest/services/TATUS/FeatureServer/11/query?where=ID%3D21&amp;outFields=ID%2CHAVZA_ADI%2CALAN_KM2&amp;returnGeometry=true&amp;outSR=4326&amp;f=geojson</x:v>
      </x:c>
      <x:c r="G34" s="32" t="str">
        <x:v>BALLI</x:v>
      </x:c>
      <x:c r="H34" s="32" t="str">
        <x:v>ŞIRNAK</x:v>
      </x:c>
      <x:c r="I34" s="36"/>
      <x:c r="J34" s="36"/>
      <x:c r="K34" s="38" t="n">
        <x:v>958.67</x:v>
      </x:c>
      <x:c r="L34" s="38" t="n">
        <x:v>0</x:v>
      </x:c>
      <x:c r="M34" s="32" t="str">
        <x:v>ULUDERE BARAJI VE HES</x:v>
      </x:c>
      <x:c r="N34" s="38" t="n">
        <x:v>2.37</x:v>
      </x:c>
      <x:c r="O34" s="38"/>
      <x:c r="P34" s="38"/>
      <x:c r="Q34" s="38"/>
      <x:c r="R34" s="38"/>
      <x:c r="S34" s="38"/>
      <x:c r="T34" s="40"/>
      <x:c r="U34" s="32" t="str">
        <x:v>eşleşme yok</x:v>
      </x:c>
      <x:c r="V34" s="32" t="str">
        <x:v>C</x:v>
      </x:c>
      <x:c r="W34" s="32" t="str">
        <x:v>https://enerji.dsi.gov.tr/Haber/Detay/11643</x:v>
      </x:c>
      <x:c r="X34" s="32" t="str">
        <x:v>https://enerji.dsi.gov.tr/Haber/Detay/11643</x:v>
      </x:c>
      <x:c r="Y34" s="32"/>
      <x:c r="Z34" s="32" t="str">
        <x:v>ULUDERE BARAJI VE HES</x:v>
      </x:c>
      <x:c r="AA34" s="101" t="str">
        <x:v>EPİAŞ su göstergesi eşleşmesi bulunamadı; Koordinat güvenilir açık kaynaktan doğrulanamadı; Kurulu güç bulunamadı; Kurulu güç kamu kaynağıyla doğrulandı; Ünite debisi doğrulanamadı; Maksimum/minimum hacim doğrulanamadı</x:v>
      </x:c>
    </x:row>
    <x:row r="35" ht="30" customHeight="1">
      <x:c r="A35" s="100" t="n">
        <x:v>32</x:v>
      </x:c>
      <x:c r="B35" s="32" t="str">
        <x:v>BATMAN HES</x:v>
      </x:c>
      <x:c r="C35" s="32" t="str">
        <x:v>Fırat Dicle</x:v>
      </x:c>
      <x:c r="D35" s="32" t="str">
        <x:v>Fırat-Dicle</x:v>
      </x:c>
      <x:c r="E35" s="34" t="n">
        <x:v>21</x:v>
      </x:c>
      <x:c r="F35" s="32" t="str">
        <x:v>https://cbs1.tarimorman.gov.tr/server/rest/services/TATUS/FeatureServer/11/query?where=ID%3D21&amp;outFields=ID%2CHAVZA_ADI%2CALAN_KM2&amp;returnGeometry=true&amp;outSR=4326&amp;f=geojson</x:v>
      </x:c>
      <x:c r="G35" s="32" t="str">
        <x:v>BATMAN</x:v>
      </x:c>
      <x:c r="H35" s="32" t="str">
        <x:v>BATMAN</x:v>
      </x:c>
      <x:c r="I35" s="36"/>
      <x:c r="J35" s="36"/>
      <x:c r="K35" s="38" t="n">
        <x:v>666</x:v>
      </x:c>
      <x:c r="L35" s="38" t="n">
        <x:v>645</x:v>
      </x:c>
      <x:c r="M35" s="32" t="str">
        <x:v>ILISU HES</x:v>
      </x:c>
      <x:c r="N35" s="38" t="n">
        <x:v>198</x:v>
      </x:c>
      <x:c r="O35" s="38"/>
      <x:c r="P35" s="38"/>
      <x:c r="Q35" s="38"/>
      <x:c r="R35" s="38"/>
      <x:c r="S35" s="38"/>
      <x:c r="T35" s="40"/>
      <x:c r="U35" s="32" t="str">
        <x:v>eşleşme yok</x:v>
      </x:c>
      <x:c r="V35" s="32" t="str">
        <x:v>C</x:v>
      </x:c>
      <x:c r="W35" s="32" t="str">
        <x:v>https://openinframap.org/stats/area/Turkey/plants?source=hydro</x:v>
      </x:c>
      <x:c r="X35" s="32" t="str">
        <x:v>https://openinframap.org/stats/area/Turkey/plants?source=hydro</x:v>
      </x:c>
      <x:c r="Y35" s="32"/>
      <x:c r="Z35" s="32" t="str">
        <x:v>ILISU HES</x:v>
      </x:c>
      <x:c r="AA35" s="101" t="str">
        <x:v>EPİAŞ su göstergesi eşleşmesi bulunamadı; Koordinat güvenilir açık kaynaktan doğrulanamadı; Ünite debisi doğrulanamadı; Maksimum/minimum hacim doğrulanamadı</x:v>
      </x:c>
    </x:row>
    <x:row r="36" ht="30" customHeight="1">
      <x:c r="A36" s="100" t="n">
        <x:v>33</x:v>
      </x:c>
      <x:c r="B36" s="32" t="str">
        <x:v>BAYRAMHACILI HES</x:v>
      </x:c>
      <x:c r="C36" s="32" t="str">
        <x:v>Kızılırmak</x:v>
      </x:c>
      <x:c r="D36" s="32" t="str">
        <x:v>Kızılırmak</x:v>
      </x:c>
      <x:c r="E36" s="34" t="n">
        <x:v>15</x:v>
      </x:c>
      <x:c r="F36" s="32" t="str">
        <x:v>https://cbs1.tarimorman.gov.tr/server/rest/services/TATUS/FeatureServer/11/query?where=ID%3D15&amp;outFields=ID%2CHAVZA_ADI%2CALAN_KM2&amp;returnGeometry=true&amp;outSR=4326&amp;f=geojson</x:v>
      </x:c>
      <x:c r="G36" s="32" t="str">
        <x:v>BAYRAMHACILI HES</x:v>
      </x:c>
      <x:c r="H36" s="32" t="str">
        <x:v>NEVŞEHİR</x:v>
      </x:c>
      <x:c r="I36" s="36"/>
      <x:c r="J36" s="36"/>
      <x:c r="K36" s="38" t="n">
        <x:v>980</x:v>
      </x:c>
      <x:c r="L36" s="38" t="n">
        <x:v>975</x:v>
      </x:c>
      <x:c r="M36" s="32" t="str">
        <x:v>HİRFANLI HES</x:v>
      </x:c>
      <x:c r="N36" s="38" t="n">
        <x:v>48.5</x:v>
      </x:c>
      <x:c r="O36" s="38" t="n">
        <x:v>135</x:v>
      </x:c>
      <x:c r="P36" s="38" t="n">
        <x:v>215</x:v>
      </x:c>
      <x:c r="Q36" s="38" t="n">
        <x:v>149</x:v>
      </x:c>
      <x:c r="R36" s="38" t="n">
        <x:v>45.24</x:v>
      </x:c>
      <x:c r="S36" s="38" t="n">
        <x:v>4.4</x:v>
      </x:c>
      <x:c r="T36" s="40" t="n">
        <x:v>46278.81434027778</x:v>
      </x:c>
      <x:c r="U36" s="32" t="str">
        <x:v>exact</x:v>
      </x:c>
      <x:c r="V36" s="32" t="str">
        <x:v>B</x:v>
      </x:c>
      <x:c r="W36" s="32" t="str">
        <x:v>Yüklü Debi_ve_Kurulu_Guc-13092026.xlsx</x:v>
      </x:c>
      <x:c r="X36" s="32" t="str">
        <x:v>Yüklü Debi_ve_Kurulu_Guc-13092026.xlsx</x:v>
      </x:c>
      <x:c r="Y36" s="32"/>
      <x:c r="Z36" s="32" t="str">
        <x:v>HİRFANLI HES</x:v>
      </x:c>
      <x:c r="AA36" s="101" t="str">
        <x:v>Koordinat güvenilir açık kaynaktan doğrulanamadı</x:v>
      </x:c>
    </x:row>
    <x:row r="37" ht="30" customHeight="1">
      <x:c r="A37" s="100" t="n">
        <x:v>34</x:v>
      </x:c>
      <x:c r="B37" s="32" t="str">
        <x:v>BERDAN HES</x:v>
      </x:c>
      <x:c r="C37" s="32" t="str">
        <x:v>Doğu Akdeniz</x:v>
      </x:c>
      <x:c r="D37" s="32" t="str">
        <x:v>Doğu Akdeniz</x:v>
      </x:c>
      <x:c r="E37" s="34" t="n">
        <x:v>17</x:v>
      </x:c>
      <x:c r="F37" s="32" t="str">
        <x:v>https://cbs1.tarimorman.gov.tr/server/rest/services/TATUS/FeatureServer/11/query?where=ID%3D17&amp;outFields=ID%2CHAVZA_ADI%2CALAN_KM2&amp;returnGeometry=true&amp;outSR=4326&amp;f=geojson</x:v>
      </x:c>
      <x:c r="G37" s="32" t="str">
        <x:v>BERDAN</x:v>
      </x:c>
      <x:c r="H37" s="32" t="str">
        <x:v>İÇEL</x:v>
      </x:c>
      <x:c r="I37" s="36"/>
      <x:c r="J37" s="36"/>
      <x:c r="K37" s="38" t="n">
        <x:v>67.41</x:v>
      </x:c>
      <x:c r="L37" s="38" t="n">
        <x:v>44</x:v>
      </x:c>
      <x:c r="M37" s="32"/>
      <x:c r="N37" s="38" t="n">
        <x:v>10.2</x:v>
      </x:c>
      <x:c r="O37" s="38" t="n">
        <x:v>48</x:v>
      </x:c>
      <x:c r="P37" s="38" t="n">
        <x:v>170.01</x:v>
      </x:c>
      <x:c r="Q37" s="38" t="n">
        <x:v>16.79</x:v>
      </x:c>
      <x:c r="R37" s="38" t="n">
        <x:v>87.33</x:v>
      </x:c>
      <x:c r="S37" s="38" t="n">
        <x:v>6.54</x:v>
      </x:c>
      <x:c r="T37" s="40" t="n">
        <x:v>46278.81434027778</x:v>
      </x:c>
      <x:c r="U37" s="32" t="str">
        <x:v>exact</x:v>
      </x:c>
      <x:c r="V37" s="32" t="str">
        <x:v>B</x:v>
      </x:c>
      <x:c r="W37" s="32" t="str">
        <x:v>Yüklü Debi_ve_Kurulu_Guc-13092026.xlsx</x:v>
      </x:c>
      <x:c r="X37" s="32" t="str">
        <x:v>Yüklü Debi_ve_Kurulu_Guc-13092026.xlsx</x:v>
      </x:c>
      <x:c r="Y37" s="32"/>
      <x:c r="Z37" s="32" t="str">
        <x:v>10</x:v>
      </x:c>
      <x:c r="AA37" s="101" t="str">
        <x:v>Kaskat alanında kaynak değeri '10' (belirsiz/sentinel); Koordinat güvenilir açık kaynaktan doğrulanamadı</x:v>
      </x:c>
    </x:row>
    <x:row r="38" ht="30" customHeight="1">
      <x:c r="A38" s="100" t="n">
        <x:v>35</x:v>
      </x:c>
      <x:c r="B38" s="32" t="str">
        <x:v>BERKE HES</x:v>
      </x:c>
      <x:c r="C38" s="32" t="str">
        <x:v>Ceyhan</x:v>
      </x:c>
      <x:c r="D38" s="32" t="str">
        <x:v>Ceyhan</x:v>
      </x:c>
      <x:c r="E38" s="34" t="n">
        <x:v>20</x:v>
      </x:c>
      <x:c r="F38" s="32" t="str">
        <x:v>https://cbs1.tarimorman.gov.tr/server/rest/services/TATUS/FeatureServer/11/query?where=ID%3D20&amp;outFields=ID%2CHAVZA_ADI%2CALAN_KM2&amp;returnGeometry=true&amp;outSR=4326&amp;f=geojson</x:v>
      </x:c>
      <x:c r="G38" s="32" t="str">
        <x:v>BERKE </x:v>
      </x:c>
      <x:c r="H38" s="32" t="str">
        <x:v>OSMANİYE</x:v>
      </x:c>
      <x:c r="I38" s="36" t="n">
        <x:v>37.37308</x:v>
      </x:c>
      <x:c r="J38" s="36" t="n">
        <x:v>36.46155</x:v>
      </x:c>
      <x:c r="K38" s="38" t="n">
        <x:v>345</x:v>
      </x:c>
      <x:c r="L38" s="38" t="n">
        <x:v>290</x:v>
      </x:c>
      <x:c r="M38" s="32"/>
      <x:c r="N38" s="38" t="n">
        <x:v>510</x:v>
      </x:c>
      <x:c r="O38" s="38" t="n">
        <x:v>301.7</x:v>
      </x:c>
      <x:c r="P38" s="38" t="n">
        <x:v>427</x:v>
      </x:c>
      <x:c r="Q38" s="38" t="n">
        <x:v>125</x:v>
      </x:c>
      <x:c r="R38" s="38" t="n">
        <x:v>274.34</x:v>
      </x:c>
      <x:c r="S38" s="38" t="n">
        <x:v>126.48</x:v>
      </x:c>
      <x:c r="T38" s="40" t="n">
        <x:v>46278.81434027778</x:v>
      </x:c>
      <x:c r="U38" s="32" t="str">
        <x:v>exact</x:v>
      </x:c>
      <x:c r="V38" s="32" t="str">
        <x:v>A</x:v>
      </x:c>
      <x:c r="W38" s="32" t="str">
        <x:v>Yüklü Debi_ve_Kurulu_Guc-13092026.xlsx</x:v>
      </x:c>
      <x:c r="X38" s="32" t="str">
        <x:v>Yüklü Debi_ve_Kurulu_Guc-13092026.xlsx</x:v>
      </x:c>
      <x:c r="Y38" s="32" t="str">
        <x:v>https://cbs1.tarimorman.gov.tr/server/rest/services/TATUS/FeatureServer/7</x:v>
      </x:c>
      <x:c r="Z38" s="32" t="str">
        <x:v>10</x:v>
      </x:c>
      <x:c r="AA38" s="101" t="str">
        <x:v>Kaskat alanında kaynak değeri '10' (belirsiz/sentinel)</x:v>
      </x:c>
    </x:row>
    <x:row r="39" ht="30" customHeight="1">
      <x:c r="A39" s="100" t="n">
        <x:v>36</x:v>
      </x:c>
      <x:c r="B39" s="32" t="str">
        <x:v>BEYHAN1 HES</x:v>
      </x:c>
      <x:c r="C39" s="32" t="str">
        <x:v>Fırat Dicle</x:v>
      </x:c>
      <x:c r="D39" s="32" t="str">
        <x:v>Fırat-Dicle</x:v>
      </x:c>
      <x:c r="E39" s="34" t="n">
        <x:v>21</x:v>
      </x:c>
      <x:c r="F39" s="32" t="str">
        <x:v>https://cbs1.tarimorman.gov.tr/server/rest/services/TATUS/FeatureServer/11/query?where=ID%3D21&amp;outFields=ID%2CHAVZA_ADI%2CALAN_KM2&amp;returnGeometry=true&amp;outSR=4326&amp;f=geojson</x:v>
      </x:c>
      <x:c r="G39" s="32" t="str">
        <x:v>BEYHAN1</x:v>
      </x:c>
      <x:c r="H39" s="32" t="str">
        <x:v>ELAZIĞ</x:v>
      </x:c>
      <x:c r="I39" s="36"/>
      <x:c r="J39" s="36"/>
      <x:c r="K39" s="38" t="n">
        <x:v>982</x:v>
      </x:c>
      <x:c r="L39" s="38" t="n">
        <x:v>977</x:v>
      </x:c>
      <x:c r="M39" s="32" t="str">
        <x:v>KEBAN HES</x:v>
      </x:c>
      <x:c r="N39" s="38" t="n">
        <x:v>582</x:v>
      </x:c>
      <x:c r="O39" s="38"/>
      <x:c r="P39" s="38"/>
      <x:c r="Q39" s="38"/>
      <x:c r="R39" s="38"/>
      <x:c r="S39" s="38"/>
      <x:c r="T39" s="40"/>
      <x:c r="U39" s="32" t="str">
        <x:v>eşleşme yok</x:v>
      </x:c>
      <x:c r="V39" s="32" t="str">
        <x:v>C</x:v>
      </x:c>
      <x:c r="W39" s="32" t="str">
        <x:v>https://www.enerjiatlasi.com/hidroelektrik/?v=1.0.24</x:v>
      </x:c>
      <x:c r="X39" s="32" t="str">
        <x:v>https://openinframap.org/stats/area/Turkey/plants?source=hydro</x:v>
      </x:c>
      <x:c r="Y39" s="32"/>
      <x:c r="Z39" s="32" t="str">
        <x:v>KEBAN HES</x:v>
      </x:c>
      <x:c r="AA39" s="101" t="str">
        <x:v>EPİAŞ su göstergesi eşleşmesi bulunamadı; Koordinat güvenilir açık kaynaktan doğrulanamadı; Ünite debisi doğrulanamadı; Maksimum/minimum hacim doğrulanamadı</x:v>
      </x:c>
    </x:row>
    <x:row r="40" ht="30" customHeight="1">
      <x:c r="A40" s="100" t="n">
        <x:v>37</x:v>
      </x:c>
      <x:c r="B40" s="32" t="str">
        <x:v>BİRECİK-NİZİP HES</x:v>
      </x:c>
      <x:c r="C40" s="32" t="str">
        <x:v>Fırat Dicle</x:v>
      </x:c>
      <x:c r="D40" s="32" t="str">
        <x:v>Fırat-Dicle</x:v>
      </x:c>
      <x:c r="E40" s="34" t="n">
        <x:v>21</x:v>
      </x:c>
      <x:c r="F40" s="32" t="str">
        <x:v>https://cbs1.tarimorman.gov.tr/server/rest/services/TATUS/FeatureServer/11/query?where=ID%3D21&amp;outFields=ID%2CHAVZA_ADI%2CALAN_KM2&amp;returnGeometry=true&amp;outSR=4326&amp;f=geojson</x:v>
      </x:c>
      <x:c r="G40" s="32" t="str">
        <x:v>BİRECİK-NİZİP</x:v>
      </x:c>
      <x:c r="H40" s="32" t="str">
        <x:v>ŞANLIURFA/GAZİANTEP</x:v>
      </x:c>
      <x:c r="I40" s="36"/>
      <x:c r="J40" s="36"/>
      <x:c r="K40" s="38" t="n">
        <x:v>385</x:v>
      </x:c>
      <x:c r="L40" s="38" t="n">
        <x:v>373</x:v>
      </x:c>
      <x:c r="M40" s="32" t="str">
        <x:v>KARKAMIŞ HES</x:v>
      </x:c>
      <x:c r="N40" s="38" t="n">
        <x:v>672</x:v>
      </x:c>
      <x:c r="O40" s="38"/>
      <x:c r="P40" s="38"/>
      <x:c r="Q40" s="38"/>
      <x:c r="R40" s="38"/>
      <x:c r="S40" s="38"/>
      <x:c r="T40" s="40"/>
      <x:c r="U40" s="32" t="str">
        <x:v>eşleşme yok</x:v>
      </x:c>
      <x:c r="V40" s="32" t="str">
        <x:v>C</x:v>
      </x:c>
      <x:c r="W40" s="32" t="str">
        <x:v>https://openinframap.org/stats/area/Turkey/plants?source=hydro</x:v>
      </x:c>
      <x:c r="X40" s="32" t="str">
        <x:v>https://openinframap.org/stats/area/Turkey/plants?source=hydro</x:v>
      </x:c>
      <x:c r="Y40" s="32"/>
      <x:c r="Z40" s="32" t="str">
        <x:v>KARKAMIŞ HES</x:v>
      </x:c>
      <x:c r="AA40" s="101" t="str">
        <x:v>EPİAŞ su göstergesi eşleşmesi bulunamadı; Koordinat güvenilir açık kaynaktan doğrulanamadı; Ünite debisi doğrulanamadı; Maksimum/minimum hacim doğrulanamadı</x:v>
      </x:c>
    </x:row>
    <x:row r="41" ht="30" customHeight="1">
      <x:c r="A41" s="100" t="n">
        <x:v>38</x:v>
      </x:c>
      <x:c r="B41" s="32" t="str">
        <x:v>BOĞAZKÖY HES</x:v>
      </x:c>
      <x:c r="C41" s="32" t="str">
        <x:v>Marmara</x:v>
      </x:c>
      <x:c r="D41" s="32" t="str">
        <x:v>Marmara</x:v>
      </x:c>
      <x:c r="E41" s="34" t="n">
        <x:v>2</x:v>
      </x:c>
      <x:c r="F41" s="32" t="str">
        <x:v>https://cbs1.tarimorman.gov.tr/server/rest/services/TATUS/FeatureServer/11/query?where=ID%3D2&amp;outFields=ID%2CHAVZA_ADI%2CALAN_KM2&amp;returnGeometry=true&amp;outSR=4326&amp;f=geojson</x:v>
      </x:c>
      <x:c r="G41" s="32" t="str">
        <x:v>BOĞAZKÖY</x:v>
      </x:c>
      <x:c r="H41" s="32" t="str">
        <x:v>BURSA</x:v>
      </x:c>
      <x:c r="I41" s="36"/>
      <x:c r="J41" s="36"/>
      <x:c r="K41" s="38" t="n">
        <x:v>266.5</x:v>
      </x:c>
      <x:c r="L41" s="38" t="n">
        <x:v>255</x:v>
      </x:c>
      <x:c r="M41" s="32"/>
      <x:c r="N41" s="38" t="n">
        <x:v>10.6</x:v>
      </x:c>
      <x:c r="O41" s="38" t="n">
        <x:v>69.5</x:v>
      </x:c>
      <x:c r="P41" s="38" t="n">
        <x:v>38.91</x:v>
      </x:c>
      <x:c r="Q41" s="38" t="n">
        <x:v>8.06</x:v>
      </x:c>
      <x:c r="R41" s="38" t="n">
        <x:v>11.73</x:v>
      </x:c>
      <x:c r="S41" s="38" t="n">
        <x:v>0.49</x:v>
      </x:c>
      <x:c r="T41" s="40" t="n">
        <x:v>46278.81434027778</x:v>
      </x:c>
      <x:c r="U41" s="32" t="str">
        <x:v>exact</x:v>
      </x:c>
      <x:c r="V41" s="32" t="str">
        <x:v>B</x:v>
      </x:c>
      <x:c r="W41" s="32" t="str">
        <x:v>Yüklü Debi_ve_Kurulu_Guc-13092026.xlsx</x:v>
      </x:c>
      <x:c r="X41" s="32" t="str">
        <x:v>Yüklü Debi_ve_Kurulu_Guc-13092026.xlsx</x:v>
      </x:c>
      <x:c r="Y41" s="32"/>
      <x:c r="Z41" s="32" t="str">
        <x:v>10</x:v>
      </x:c>
      <x:c r="AA41" s="101" t="str">
        <x:v>Kaskat alanında kaynak değeri '10' (belirsiz/sentinel); Koordinat güvenilir açık kaynaktan doğrulanamadı</x:v>
      </x:c>
    </x:row>
    <x:row r="42" ht="30" customHeight="1">
      <x:c r="A42" s="100" t="n">
        <x:v>39</x:v>
      </x:c>
      <x:c r="B42" s="32" t="str">
        <x:v>BORÇKA HES</x:v>
      </x:c>
      <x:c r="C42" s="32" t="str">
        <x:v>Çoruh</x:v>
      </x:c>
      <x:c r="D42" s="32" t="str">
        <x:v>Çoruh</x:v>
      </x:c>
      <x:c r="E42" s="34" t="n">
        <x:v>23</x:v>
      </x:c>
      <x:c r="F42" s="32" t="str">
        <x:v>https://cbs1.tarimorman.gov.tr/server/rest/services/TATUS/FeatureServer/11/query?where=ID%3D23&amp;outFields=ID%2CHAVZA_ADI%2CALAN_KM2&amp;returnGeometry=true&amp;outSR=4326&amp;f=geojson</x:v>
      </x:c>
      <x:c r="G42" s="32" t="str">
        <x:v>BORÇKA</x:v>
      </x:c>
      <x:c r="H42" s="32" t="str">
        <x:v>ARTVİN</x:v>
      </x:c>
      <x:c r="I42" s="36"/>
      <x:c r="J42" s="36"/>
      <x:c r="K42" s="38" t="n">
        <x:v>185</x:v>
      </x:c>
      <x:c r="L42" s="38" t="n">
        <x:v>170</x:v>
      </x:c>
      <x:c r="M42" s="32" t="str">
        <x:v>MURATLI HES</x:v>
      </x:c>
      <x:c r="N42" s="38" t="n">
        <x:v>301</x:v>
      </x:c>
      <x:c r="O42" s="38"/>
      <x:c r="P42" s="38"/>
      <x:c r="Q42" s="38"/>
      <x:c r="R42" s="38"/>
      <x:c r="S42" s="38"/>
      <x:c r="T42" s="40"/>
      <x:c r="U42" s="32" t="str">
        <x:v>eşleşme yok</x:v>
      </x:c>
      <x:c r="V42" s="32" t="str">
        <x:v>C</x:v>
      </x:c>
      <x:c r="W42" s="32" t="str">
        <x:v>https://openinframap.org/stats/area/Turkey/plants?source=hydro</x:v>
      </x:c>
      <x:c r="X42" s="32" t="str">
        <x:v>https://openinframap.org/stats/area/Turkey/plants?source=hydro</x:v>
      </x:c>
      <x:c r="Y42" s="32"/>
      <x:c r="Z42" s="32" t="str">
        <x:v>MURATLI HES</x:v>
      </x:c>
      <x:c r="AA42" s="101" t="str">
        <x:v>EPİAŞ su göstergesi eşleşmesi bulunamadı; Koordinat güvenilir açık kaynaktan doğrulanamadı; Ünite debisi doğrulanamadı; Maksimum/minimum hacim doğrulanamadı</x:v>
      </x:c>
    </x:row>
    <x:row r="43" ht="30" customHeight="1">
      <x:c r="A43" s="100" t="n">
        <x:v>40</x:v>
      </x:c>
      <x:c r="B43" s="32" t="str">
        <x:v>BOYABAT HES</x:v>
      </x:c>
      <x:c r="C43" s="32" t="str">
        <x:v>Kızılırmak</x:v>
      </x:c>
      <x:c r="D43" s="32" t="str">
        <x:v>Kızılırmak</x:v>
      </x:c>
      <x:c r="E43" s="34" t="n">
        <x:v>15</x:v>
      </x:c>
      <x:c r="F43" s="32" t="str">
        <x:v>https://cbs1.tarimorman.gov.tr/server/rest/services/TATUS/FeatureServer/11/query?where=ID%3D15&amp;outFields=ID%2CHAVZA_ADI%2CALAN_KM2&amp;returnGeometry=true&amp;outSR=4326&amp;f=geojson</x:v>
      </x:c>
      <x:c r="G43" s="32" t="str">
        <x:v>BOYABAT</x:v>
      </x:c>
      <x:c r="H43" s="32" t="str">
        <x:v>SİNOP</x:v>
      </x:c>
      <x:c r="I43" s="36" t="n">
        <x:v>41.33471</x:v>
      </x:c>
      <x:c r="J43" s="36" t="n">
        <x:v>34.99575</x:v>
      </x:c>
      <x:c r="K43" s="38" t="n">
        <x:v>330</x:v>
      </x:c>
      <x:c r="L43" s="38" t="n">
        <x:v>305</x:v>
      </x:c>
      <x:c r="M43" s="32" t="str">
        <x:v>ALTINKAYA HES</x:v>
      </x:c>
      <x:c r="N43" s="38" t="n">
        <x:v>10</x:v>
      </x:c>
      <x:c r="O43" s="38" t="n">
        <x:v>10</x:v>
      </x:c>
      <x:c r="P43" s="38" t="n">
        <x:v>3557</x:v>
      </x:c>
      <x:c r="Q43" s="38" t="n">
        <x:v>2155</x:v>
      </x:c>
      <x:c r="R43" s="38" t="n">
        <x:v>901.26</x:v>
      </x:c>
      <x:c r="S43" s="38" t="n">
        <x:v>304.17</x:v>
      </x:c>
      <x:c r="T43" s="40" t="n">
        <x:v>46278.81434027778</x:v>
      </x:c>
      <x:c r="U43" s="32" t="str">
        <x:v>exact</x:v>
      </x:c>
      <x:c r="V43" s="32" t="str">
        <x:v>A</x:v>
      </x:c>
      <x:c r="W43" s="32" t="str">
        <x:v>Yüklü Debi_ve_Kurulu_Guc-13092026.xlsx</x:v>
      </x:c>
      <x:c r="X43" s="32" t="str">
        <x:v>Yüklü Debi_ve_Kurulu_Guc-13092026.xlsx</x:v>
      </x:c>
      <x:c r="Y43" s="32" t="str">
        <x:v>https://cbs1.tarimorman.gov.tr/server/rest/services/TATUS/FeatureServer/7</x:v>
      </x:c>
      <x:c r="Z43" s="32" t="str">
        <x:v>ALTINKAYA HES</x:v>
      </x:c>
      <x:c r="AA43" s="101" t="str"/>
    </x:row>
    <x:row r="44" ht="30" customHeight="1">
      <x:c r="A44" s="100" t="n">
        <x:v>41</x:v>
      </x:c>
      <x:c r="B44" s="32" t="str">
        <x:v>BOZKIR ETEK HES</x:v>
      </x:c>
      <x:c r="C44" s="32" t="str">
        <x:v>Konya Kapalı</x:v>
      </x:c>
      <x:c r="D44" s="32" t="str">
        <x:v>Konya Kapalı</x:v>
      </x:c>
      <x:c r="E44" s="34" t="n">
        <x:v>16</x:v>
      </x:c>
      <x:c r="F44" s="32" t="str">
        <x:v>https://cbs1.tarimorman.gov.tr/server/rest/services/TATUS/FeatureServer/11/query?where=ID%3D16&amp;outFields=ID%2CHAVZA_ADI%2CALAN_KM2&amp;returnGeometry=true&amp;outSR=4326&amp;f=geojson</x:v>
      </x:c>
      <x:c r="G44" s="32" t="str">
        <x:v>BOZKIR ETEK</x:v>
      </x:c>
      <x:c r="H44" s="32" t="str">
        <x:v>KONYA</x:v>
      </x:c>
      <x:c r="I44" s="36"/>
      <x:c r="J44" s="36"/>
      <x:c r="K44" s="38" t="n">
        <x:v>1353.58</x:v>
      </x:c>
      <x:c r="L44" s="38" t="n">
        <x:v>1275</x:v>
      </x:c>
      <x:c r="M44" s="32"/>
      <x:c r="N44" s="38" t="n">
        <x:v>18.838</x:v>
      </x:c>
      <x:c r="O44" s="38"/>
      <x:c r="P44" s="38"/>
      <x:c r="Q44" s="38"/>
      <x:c r="R44" s="38"/>
      <x:c r="S44" s="38"/>
      <x:c r="T44" s="40"/>
      <x:c r="U44" s="32" t="str">
        <x:v>eşleşme yok</x:v>
      </x:c>
      <x:c r="V44" s="32" t="str">
        <x:v>C</x:v>
      </x:c>
      <x:c r="W44" s="32" t="str">
        <x:v>https://hesiad.org.tr/wp-content/uploads/2025/05/15.01.2025-2.pdf</x:v>
      </x:c>
      <x:c r="X44" s="32" t="str">
        <x:v>https://hesiad.org.tr/wp-content/uploads/2025/05/15.01.2025-2.pdf</x:v>
      </x:c>
      <x:c r="Y44" s="32"/>
      <x:c r="Z44" s="32" t="str">
        <x:v>10</x:v>
      </x:c>
      <x:c r="AA44" s="101" t="str">
        <x:v>EPİAŞ su göstergesi eşleşmesi bulunamadı; Kaskat alanında kaynak değeri '10' (belirsiz/sentinel); Koordinat güvenilir açık kaynaktan doğrulanamadı; Kurulu güç bulunamadı; Eksik kurulu güç/il bilgisi kamuya açık web kaynağıyla tamamlandı; Ünite debisi doğrulanamadı; Maksimum/minimum hacim doğrulanamadı</x:v>
      </x:c>
    </x:row>
    <x:row r="45" ht="30" customHeight="1">
      <x:c r="A45" s="100" t="n">
        <x:v>42</x:v>
      </x:c>
      <x:c r="B45" s="32" t="str">
        <x:v>BURÇBENDİ HES</x:v>
      </x:c>
      <x:c r="C45" s="32" t="str">
        <x:v>Fırat Dicle</x:v>
      </x:c>
      <x:c r="D45" s="32" t="str">
        <x:v>Fırat-Dicle</x:v>
      </x:c>
      <x:c r="E45" s="34" t="n">
        <x:v>21</x:v>
      </x:c>
      <x:c r="F45" s="32" t="str">
        <x:v>https://cbs1.tarimorman.gov.tr/server/rest/services/TATUS/FeatureServer/11/query?where=ID%3D21&amp;outFields=ID%2CHAVZA_ADI%2CALAN_KM2&amp;returnGeometry=true&amp;outSR=4326&amp;f=geojson</x:v>
      </x:c>
      <x:c r="G45" s="32" t="str">
        <x:v>BURÇBENDİ</x:v>
      </x:c>
      <x:c r="H45" s="32" t="str">
        <x:v>ADIYAMAN</x:v>
      </x:c>
      <x:c r="I45" s="36"/>
      <x:c r="J45" s="36"/>
      <x:c r="K45" s="38" t="n">
        <x:v>421</x:v>
      </x:c>
      <x:c r="L45" s="38" t="n">
        <x:v>416.5</x:v>
      </x:c>
      <x:c r="M45" s="32"/>
      <x:c r="N45" s="38" t="n">
        <x:v>27.33</x:v>
      </x:c>
      <x:c r="O45" s="38"/>
      <x:c r="P45" s="38"/>
      <x:c r="Q45" s="38"/>
      <x:c r="R45" s="38"/>
      <x:c r="S45" s="38"/>
      <x:c r="T45" s="40"/>
      <x:c r="U45" s="32" t="str">
        <x:v>eşleşme yok</x:v>
      </x:c>
      <x:c r="V45" s="32" t="str">
        <x:v>C</x:v>
      </x:c>
      <x:c r="W45" s="32" t="str">
        <x:v>https://www.akenerji.com.tr/santrallerimiz</x:v>
      </x:c>
      <x:c r="X45" s="32" t="str">
        <x:v>https://openinframap.org/stats/area/Turkey/plants?source=hydro</x:v>
      </x:c>
      <x:c r="Y45" s="32"/>
      <x:c r="Z45" s="32" t="str">
        <x:v>10</x:v>
      </x:c>
      <x:c r="AA45" s="101" t="str">
        <x:v>EPİAŞ su göstergesi eşleşmesi bulunamadı; Kaskat alanında kaynak değeri '10' (belirsiz/sentinel); Koordinat güvenilir açık kaynaktan doğrulanamadı; Ünite debisi doğrulanamadı; Maksimum/minimum hacim doğrulanamadı</x:v>
      </x:c>
    </x:row>
    <x:row r="46" ht="30" customHeight="1">
      <x:c r="A46" s="100" t="n">
        <x:v>43</x:v>
      </x:c>
      <x:c r="B46" s="32" t="str">
        <x:v>BÜYÜKDÜZ HES</x:v>
      </x:c>
      <x:c r="C46" s="32" t="str">
        <x:v>Doğu Karadeniz</x:v>
      </x:c>
      <x:c r="D46" s="32" t="str">
        <x:v>Doğu Karadeniz</x:v>
      </x:c>
      <x:c r="E46" s="34" t="n">
        <x:v>22</x:v>
      </x:c>
      <x:c r="F46" s="32" t="str">
        <x:v>https://cbs1.tarimorman.gov.tr/server/rest/services/TATUS/FeatureServer/11/query?where=ID%3D22&amp;outFields=ID%2CHAVZA_ADI%2CALAN_KM2&amp;returnGeometry=true&amp;outSR=4326&amp;f=geojson</x:v>
      </x:c>
      <x:c r="G46" s="32" t="str">
        <x:v>BÜYÜKDÜZ</x:v>
      </x:c>
      <x:c r="H46" s="32" t="str">
        <x:v>GÜMÜŞHANE</x:v>
      </x:c>
      <x:c r="I46" s="36"/>
      <x:c r="J46" s="36"/>
      <x:c r="K46" s="38" t="n">
        <x:v>1189.5</x:v>
      </x:c>
      <x:c r="L46" s="38" t="n">
        <x:v>1182.7</x:v>
      </x:c>
      <x:c r="M46" s="32"/>
      <x:c r="N46" s="38" t="n">
        <x:v>68.9</x:v>
      </x:c>
      <x:c r="O46" s="38"/>
      <x:c r="P46" s="38"/>
      <x:c r="Q46" s="38"/>
      <x:c r="R46" s="38"/>
      <x:c r="S46" s="38"/>
      <x:c r="T46" s="40"/>
      <x:c r="U46" s="32" t="str">
        <x:v>eşleşme yok</x:v>
      </x:c>
      <x:c r="V46" s="32" t="str">
        <x:v>C</x:v>
      </x:c>
      <x:c r="W46" s="32" t="str">
        <x:v>https://financialfilings.com/filings/ayen-enerji-as/annual-report/2026/32909967/</x:v>
      </x:c>
      <x:c r="X46" s="32" t="str">
        <x:v>https://financialfilings.com/filings/ayen-enerji-as/annual-report/2026/32909967/</x:v>
      </x:c>
      <x:c r="Y46" s="32"/>
      <x:c r="Z46" s="32" t="str">
        <x:v>10</x:v>
      </x:c>
      <x:c r="AA46" s="101" t="str">
        <x:v>EPİAŞ su göstergesi eşleşmesi bulunamadı; Kaskat alanında kaynak değeri '10' (belirsiz/sentinel); Koordinat güvenilir açık kaynaktan doğrulanamadı; Ünite debisi doğrulanamadı; Maksimum/minimum hacim doğrulanamadı</x:v>
      </x:c>
    </x:row>
    <x:row r="47" ht="30" customHeight="1">
      <x:c r="A47" s="100" t="n">
        <x:v>44</x:v>
      </x:c>
      <x:c r="B47" s="32" t="str">
        <x:v>BÜYÜK KARAÇAY HES</x:v>
      </x:c>
      <x:c r="C47" s="32" t="str">
        <x:v>Asi</x:v>
      </x:c>
      <x:c r="D47" s="32" t="str">
        <x:v>Asi</x:v>
      </x:c>
      <x:c r="E47" s="34" t="n">
        <x:v>19</x:v>
      </x:c>
      <x:c r="F47" s="32" t="str">
        <x:v>https://cbs1.tarimorman.gov.tr/server/rest/services/TATUS/FeatureServer/11/query?where=ID%3D19&amp;outFields=ID%2CHAVZA_ADI%2CALAN_KM2&amp;returnGeometry=true&amp;outSR=4326&amp;f=geojson</x:v>
      </x:c>
      <x:c r="G47" s="32" t="str">
        <x:v>BÜYÜK KARAÇAY</x:v>
      </x:c>
      <x:c r="H47" s="32" t="str">
        <x:v>HATAY</x:v>
      </x:c>
      <x:c r="I47" s="36" t="n">
        <x:v>36.18809</x:v>
      </x:c>
      <x:c r="J47" s="36" t="n">
        <x:v>35.98745</x:v>
      </x:c>
      <x:c r="K47" s="38" t="n">
        <x:v>351.93</x:v>
      </x:c>
      <x:c r="L47" s="38" t="n">
        <x:v>290</x:v>
      </x:c>
      <x:c r="M47" s="32"/>
      <x:c r="N47" s="38" t="n">
        <x:v>3.3</x:v>
      </x:c>
      <x:c r="O47" s="38" t="n">
        <x:v>4.3</x:v>
      </x:c>
      <x:c r="P47" s="38" t="n">
        <x:v>57.35</x:v>
      </x:c>
      <x:c r="Q47" s="38" t="n">
        <x:v>3.58</x:v>
      </x:c>
      <x:c r="R47" s="38" t="n">
        <x:v>39.12</x:v>
      </x:c>
      <x:c r="S47" s="38" t="n">
        <x:v>9.01</x:v>
      </x:c>
      <x:c r="T47" s="40" t="n">
        <x:v>46278.81434027778</x:v>
      </x:c>
      <x:c r="U47" s="32" t="str">
        <x:v>exact</x:v>
      </x:c>
      <x:c r="V47" s="32" t="str">
        <x:v>A</x:v>
      </x:c>
      <x:c r="W47" s="32" t="str">
        <x:v>Yüklü Debi_ve_Kurulu_Guc-13092026.xlsx</x:v>
      </x:c>
      <x:c r="X47" s="32" t="str">
        <x:v>Yüklü Debi_ve_Kurulu_Guc-13092026.xlsx</x:v>
      </x:c>
      <x:c r="Y47" s="32" t="str">
        <x:v>https://cbs1.tarimorman.gov.tr/server/rest/services/TATUS/FeatureServer/7</x:v>
      </x:c>
      <x:c r="Z47" s="32" t="str">
        <x:v>10</x:v>
      </x:c>
      <x:c r="AA47" s="101" t="str">
        <x:v>Kaskat alanında kaynak değeri '10' (belirsiz/sentinel)</x:v>
      </x:c>
    </x:row>
    <x:row r="48" ht="30" customHeight="1">
      <x:c r="A48" s="100" t="n">
        <x:v>45</x:v>
      </x:c>
      <x:c r="B48" s="32" t="str">
        <x:v>CİNDERE HES</x:v>
      </x:c>
      <x:c r="C48" s="32" t="str">
        <x:v>Büyük Menderes</x:v>
      </x:c>
      <x:c r="D48" s="32" t="str">
        <x:v>Büyük Menderes</x:v>
      </x:c>
      <x:c r="E48" s="34" t="n">
        <x:v>7</x:v>
      </x:c>
      <x:c r="F48" s="32" t="str">
        <x:v>https://cbs1.tarimorman.gov.tr/server/rest/services/TATUS/FeatureServer/11/query?where=ID%3D7&amp;outFields=ID%2CHAVZA_ADI%2CALAN_KM2&amp;returnGeometry=true&amp;outSR=4326&amp;f=geojson</x:v>
      </x:c>
      <x:c r="G48" s="32" t="str">
        <x:v>CİNDERE</x:v>
      </x:c>
      <x:c r="H48" s="32" t="str">
        <x:v>DENİZLİ</x:v>
      </x:c>
      <x:c r="I48" s="36" t="n">
        <x:v>38.11523</x:v>
      </x:c>
      <x:c r="J48" s="36" t="n">
        <x:v>29.03511</x:v>
      </x:c>
      <x:c r="K48" s="38" t="n">
        <x:v>267.7</x:v>
      </x:c>
      <x:c r="L48" s="38" t="n">
        <x:v>238.5</x:v>
      </x:c>
      <x:c r="M48" s="32"/>
      <x:c r="N48" s="38" t="n">
        <x:v>27.8</x:v>
      </x:c>
      <x:c r="O48" s="38" t="n">
        <x:v>63</x:v>
      </x:c>
      <x:c r="P48" s="38" t="n">
        <x:v>84.27</x:v>
      </x:c>
      <x:c r="Q48" s="38" t="n">
        <x:v>5.62</x:v>
      </x:c>
      <x:c r="R48" s="38" t="n">
        <x:v>27.08</x:v>
      </x:c>
      <x:c r="S48" s="38" t="n">
        <x:v>1.95</x:v>
      </x:c>
      <x:c r="T48" s="40" t="n">
        <x:v>46278.81434027778</x:v>
      </x:c>
      <x:c r="U48" s="32" t="str">
        <x:v>exact</x:v>
      </x:c>
      <x:c r="V48" s="32" t="str">
        <x:v>A</x:v>
      </x:c>
      <x:c r="W48" s="32" t="str">
        <x:v>Yüklü Debi_ve_Kurulu_Guc-13092026.xlsx</x:v>
      </x:c>
      <x:c r="X48" s="32" t="str">
        <x:v>Yüklü Debi_ve_Kurulu_Guc-13092026.xlsx</x:v>
      </x:c>
      <x:c r="Y48" s="32" t="str">
        <x:v>https://cbs1.tarimorman.gov.tr/server/rest/services/TATUS/FeatureServer/7</x:v>
      </x:c>
      <x:c r="Z48" s="32" t="str">
        <x:v>10</x:v>
      </x:c>
      <x:c r="AA48" s="101" t="str">
        <x:v>Kaskat alanında kaynak değeri '10' (belirsiz/sentinel)</x:v>
      </x:c>
    </x:row>
    <x:row r="49" ht="30" customHeight="1">
      <x:c r="A49" s="100" t="n">
        <x:v>46</x:v>
      </x:c>
      <x:c r="B49" s="32" t="str">
        <x:v>ÇAMLIGÖZE HES</x:v>
      </x:c>
      <x:c r="C49" s="32" t="str">
        <x:v>Yeşilırmak</x:v>
      </x:c>
      <x:c r="D49" s="32" t="str">
        <x:v>Yeşilırmak</x:v>
      </x:c>
      <x:c r="E49" s="34" t="n">
        <x:v>14</x:v>
      </x:c>
      <x:c r="F49" s="32" t="str">
        <x:v>https://cbs1.tarimorman.gov.tr/server/rest/services/TATUS/FeatureServer/11/query?where=ID%3D14&amp;outFields=ID%2CHAVZA_ADI%2CALAN_KM2&amp;returnGeometry=true&amp;outSR=4326&amp;f=geojson</x:v>
      </x:c>
      <x:c r="G49" s="32" t="str">
        <x:v>ÇAMLIGÖZE</x:v>
      </x:c>
      <x:c r="H49" s="32" t="str">
        <x:v>SİVAS</x:v>
      </x:c>
      <x:c r="I49" s="36"/>
      <x:c r="J49" s="36"/>
      <x:c r="K49" s="38" t="n">
        <x:v>751</x:v>
      </x:c>
      <x:c r="L49" s="38" t="n">
        <x:v>745</x:v>
      </x:c>
      <x:c r="M49" s="32"/>
      <x:c r="N49" s="38" t="n">
        <x:v>32</x:v>
      </x:c>
      <x:c r="O49" s="38" t="n">
        <x:v>166</x:v>
      </x:c>
      <x:c r="P49" s="38" t="n">
        <x:v>42.43</x:v>
      </x:c>
      <x:c r="Q49" s="38" t="n">
        <x:v>24.32</x:v>
      </x:c>
      <x:c r="R49" s="38" t="n">
        <x:v>18.11</x:v>
      </x:c>
      <x:c r="S49" s="38" t="n">
        <x:v>1.16</x:v>
      </x:c>
      <x:c r="T49" s="40" t="n">
        <x:v>46278.81434027778</x:v>
      </x:c>
      <x:c r="U49" s="32" t="str">
        <x:v>exact</x:v>
      </x:c>
      <x:c r="V49" s="32" t="str">
        <x:v>B</x:v>
      </x:c>
      <x:c r="W49" s="32" t="str">
        <x:v>Yüklü Debi_ve_Kurulu_Guc-13092026.xlsx</x:v>
      </x:c>
      <x:c r="X49" s="32" t="str">
        <x:v>Yüklü Debi_ve_Kurulu_Guc-13092026.xlsx</x:v>
      </x:c>
      <x:c r="Y49" s="32"/>
      <x:c r="Z49" s="32" t="str">
        <x:v>10</x:v>
      </x:c>
      <x:c r="AA49" s="101" t="str">
        <x:v>Kaskat alanında kaynak değeri '10' (belirsiz/sentinel); Koordinat güvenilir açık kaynaktan doğrulanamadı</x:v>
      </x:c>
    </x:row>
    <x:row r="50" ht="30" customHeight="1">
      <x:c r="A50" s="100" t="n">
        <x:v>47</x:v>
      </x:c>
      <x:c r="B50" s="32" t="str">
        <x:v>ÇANDIR HES</x:v>
      </x:c>
      <x:c r="C50" s="32" t="str">
        <x:v>Orta Akdeniz</x:v>
      </x:c>
      <x:c r="D50" s="32" t="str">
        <x:v>Antalya</x:v>
      </x:c>
      <x:c r="E50" s="34" t="n">
        <x:v>9</x:v>
      </x:c>
      <x:c r="F50" s="32" t="str">
        <x:v>https://cbs1.tarimorman.gov.tr/server/rest/services/TATUS/FeatureServer/11/query?where=ID%3D9&amp;outFields=ID%2CHAVZA_ADI%2CALAN_KM2&amp;returnGeometry=true&amp;outSR=4326&amp;f=geojson</x:v>
      </x:c>
      <x:c r="G50" s="32" t="str">
        <x:v>ÇANDIR</x:v>
      </x:c>
      <x:c r="H50" s="32" t="str">
        <x:v>ANTALYA</x:v>
      </x:c>
      <x:c r="I50" s="36"/>
      <x:c r="J50" s="36"/>
      <x:c r="K50" s="38" t="n">
        <x:v>474.65</x:v>
      </x:c>
      <x:c r="L50" s="38" t="n">
        <x:v>472.97</x:v>
      </x:c>
      <x:c r="M50" s="32"/>
      <x:c r="N50" s="38" t="n">
        <x:v>1.71</x:v>
      </x:c>
      <x:c r="O50" s="38"/>
      <x:c r="P50" s="38"/>
      <x:c r="Q50" s="38"/>
      <x:c r="R50" s="38"/>
      <x:c r="S50" s="38"/>
      <x:c r="T50" s="40"/>
      <x:c r="U50" s="32" t="str">
        <x:v>eşleşme yok</x:v>
      </x:c>
      <x:c r="V50" s="32" t="str">
        <x:v>C</x:v>
      </x:c>
      <x:c r="W50" s="32" t="str">
        <x:v>https://www.milligazete.com.tr/hidroelektrik-santrali-hes-nedir-turkiyede-kac-tane-hes-var</x:v>
      </x:c>
      <x:c r="X50" s="32" t="str">
        <x:v>https://www.milligazete.com.tr/hidroelektrik-santrali-hes-nedir-turkiyede-kac-tane-hes-var</x:v>
      </x:c>
      <x:c r="Y50" s="32"/>
      <x:c r="Z50" s="32" t="str">
        <x:v>10</x:v>
      </x:c>
      <x:c r="AA50" s="101" t="str">
        <x:v>EPİAŞ su göstergesi eşleşmesi bulunamadı; Kaskat alanında kaynak değeri '10' (belirsiz/sentinel); Koordinat güvenilir açık kaynaktan doğrulanamadı; Kurulu güç bulunamadı; Eksik kurulu güç/il bilgisi kamuya açık web kaynağıyla tamamlandı; Ünite debisi doğrulanamadı; Maksimum/minimum hacim doğrulanamadı</x:v>
      </x:c>
    </x:row>
    <x:row r="51" ht="30" customHeight="1">
      <x:c r="A51" s="100" t="n">
        <x:v>48</x:v>
      </x:c>
      <x:c r="B51" s="32" t="str">
        <x:v>ÇATALAN HES</x:v>
      </x:c>
      <x:c r="C51" s="32" t="str">
        <x:v>Seyhan</x:v>
      </x:c>
      <x:c r="D51" s="32" t="str">
        <x:v>Seyhan</x:v>
      </x:c>
      <x:c r="E51" s="34" t="n">
        <x:v>18</x:v>
      </x:c>
      <x:c r="F51" s="32" t="str">
        <x:v>https://cbs1.tarimorman.gov.tr/server/rest/services/TATUS/FeatureServer/11/query?where=ID%3D18&amp;outFields=ID%2CHAVZA_ADI%2CALAN_KM2&amp;returnGeometry=true&amp;outSR=4326&amp;f=geojson</x:v>
      </x:c>
      <x:c r="G51" s="32" t="str">
        <x:v>ÇATALAN</x:v>
      </x:c>
      <x:c r="H51" s="32" t="str">
        <x:v>ADANA</x:v>
      </x:c>
      <x:c r="I51" s="36" t="n">
        <x:v>37.19874</x:v>
      </x:c>
      <x:c r="J51" s="36" t="n">
        <x:v>35.28179</x:v>
      </x:c>
      <x:c r="K51" s="38" t="n">
        <x:v>125</x:v>
      </x:c>
      <x:c r="L51" s="38" t="n">
        <x:v>115</x:v>
      </x:c>
      <x:c r="M51" s="32" t="str">
        <x:v>SEYHAN 1 HES</x:v>
      </x:c>
      <x:c r="N51" s="38" t="n">
        <x:v>168.9</x:v>
      </x:c>
      <x:c r="O51" s="38" t="n">
        <x:v>355.2</x:v>
      </x:c>
      <x:c r="P51" s="38" t="n">
        <x:v>2028.68</x:v>
      </x:c>
      <x:c r="Q51" s="38" t="n">
        <x:v>1302.32</x:v>
      </x:c>
      <x:c r="R51" s="38" t="n">
        <x:v>126.43</x:v>
      </x:c>
      <x:c r="S51" s="38" t="n">
        <x:v>16.37</x:v>
      </x:c>
      <x:c r="T51" s="40" t="n">
        <x:v>46278.81434027778</x:v>
      </x:c>
      <x:c r="U51" s="32" t="str">
        <x:v>exact</x:v>
      </x:c>
      <x:c r="V51" s="32" t="str">
        <x:v>A</x:v>
      </x:c>
      <x:c r="W51" s="32" t="str">
        <x:v>Yüklü Debi_ve_Kurulu_Guc-13092026.xlsx</x:v>
      </x:c>
      <x:c r="X51" s="32" t="str">
        <x:v>Yüklü Debi_ve_Kurulu_Guc-13092026.xlsx</x:v>
      </x:c>
      <x:c r="Y51" s="32" t="str">
        <x:v>https://cbs1.tarimorman.gov.tr/server/rest/services/TATUS/FeatureServer/7</x:v>
      </x:c>
      <x:c r="Z51" s="32" t="str">
        <x:v>SEYHAN 1 HES</x:v>
      </x:c>
      <x:c r="AA51" s="101" t="str"/>
    </x:row>
    <x:row r="52" ht="30" customHeight="1">
      <x:c r="A52" s="100" t="n">
        <x:v>49</x:v>
      </x:c>
      <x:c r="B52" s="32" t="str">
        <x:v>ÇAYGÖREN HES</x:v>
      </x:c>
      <x:c r="C52" s="32" t="str">
        <x:v>Susurluk</x:v>
      </x:c>
      <x:c r="D52" s="32" t="str">
        <x:v>Susurluk</x:v>
      </x:c>
      <x:c r="E52" s="34" t="n">
        <x:v>3</x:v>
      </x:c>
      <x:c r="F52" s="32" t="str">
        <x:v>https://cbs1.tarimorman.gov.tr/server/rest/services/TATUS/FeatureServer/11/query?where=ID%3D3&amp;outFields=ID%2CHAVZA_ADI%2CALAN_KM2&amp;returnGeometry=true&amp;outSR=4326&amp;f=geojson</x:v>
      </x:c>
      <x:c r="G52" s="32" t="str">
        <x:v>ÇAYGÖREN</x:v>
      </x:c>
      <x:c r="H52" s="32" t="str">
        <x:v>BALIKESİR</x:v>
      </x:c>
      <x:c r="I52" s="36" t="n">
        <x:v>39.27195</x:v>
      </x:c>
      <x:c r="J52" s="36" t="n">
        <x:v>28.21611</x:v>
      </x:c>
      <x:c r="K52" s="38" t="n">
        <x:v>270.5</x:v>
      </x:c>
      <x:c r="L52" s="38" t="n">
        <x:v>241.5</x:v>
      </x:c>
      <x:c r="M52" s="32"/>
      <x:c r="N52" s="38" t="n">
        <x:v>4.6</x:v>
      </x:c>
      <x:c r="O52" s="38" t="n">
        <x:v>11.5</x:v>
      </x:c>
      <x:c r="P52" s="38" t="n">
        <x:v>155.7</x:v>
      </x:c>
      <x:c r="Q52" s="38" t="n">
        <x:v>12.06</x:v>
      </x:c>
      <x:c r="R52" s="38" t="n">
        <x:v>48.6</x:v>
      </x:c>
      <x:c r="S52" s="38" t="n">
        <x:v>3.6</x:v>
      </x:c>
      <x:c r="T52" s="40" t="n">
        <x:v>46278.81434027778</x:v>
      </x:c>
      <x:c r="U52" s="32" t="str">
        <x:v>exact</x:v>
      </x:c>
      <x:c r="V52" s="32" t="str">
        <x:v>A</x:v>
      </x:c>
      <x:c r="W52" s="32" t="str">
        <x:v>Yüklü Debi_ve_Kurulu_Guc-13092026.xlsx</x:v>
      </x:c>
      <x:c r="X52" s="32" t="str">
        <x:v>Yüklü Debi_ve_Kurulu_Guc-13092026.xlsx</x:v>
      </x:c>
      <x:c r="Y52" s="32" t="str">
        <x:v>https://cbs1.tarimorman.gov.tr/server/rest/services/TATUS/FeatureServer/7</x:v>
      </x:c>
      <x:c r="Z52" s="32" t="str">
        <x:v>10</x:v>
      </x:c>
      <x:c r="AA52" s="101" t="str">
        <x:v>Kaskat alanında kaynak değeri '10' (belirsiz/sentinel)</x:v>
      </x:c>
    </x:row>
    <x:row r="53" ht="30" customHeight="1">
      <x:c r="A53" s="100" t="n">
        <x:v>50</x:v>
      </x:c>
      <x:c r="B53" s="32" t="str">
        <x:v>ÇEKEREK SÜREYYABEY HES</x:v>
      </x:c>
      <x:c r="C53" s="32" t="str">
        <x:v>Yeşilırmak</x:v>
      </x:c>
      <x:c r="D53" s="32" t="str">
        <x:v>Yeşilırmak</x:v>
      </x:c>
      <x:c r="E53" s="34" t="n">
        <x:v>14</x:v>
      </x:c>
      <x:c r="F53" s="32" t="str">
        <x:v>https://cbs1.tarimorman.gov.tr/server/rest/services/TATUS/FeatureServer/11/query?where=ID%3D14&amp;outFields=ID%2CHAVZA_ADI%2CALAN_KM2&amp;returnGeometry=true&amp;outSR=4326&amp;f=geojson</x:v>
      </x:c>
      <x:c r="G53" s="32" t="str">
        <x:v>SÜREYYABEY (ÇEKEREK)</x:v>
      </x:c>
      <x:c r="H53" s="32" t="str">
        <x:v>YOZGAT</x:v>
      </x:c>
      <x:c r="I53" s="36"/>
      <x:c r="J53" s="36"/>
      <x:c r="K53" s="38" t="n">
        <x:v>858.25</x:v>
      </x:c>
      <x:c r="L53" s="38" t="n">
        <x:v>820</x:v>
      </x:c>
      <x:c r="M53" s="32"/>
      <x:c r="N53" s="38" t="n">
        <x:v>14.4</x:v>
      </x:c>
      <x:c r="O53" s="38" t="n">
        <x:v>7.5</x:v>
      </x:c>
      <x:c r="P53" s="38" t="n">
        <x:v>1310</x:v>
      </x:c>
      <x:c r="Q53" s="38" t="n">
        <x:v>229.2</x:v>
      </x:c>
      <x:c r="R53" s="38"/>
      <x:c r="S53" s="38"/>
      <x:c r="T53" s="40" t="n">
        <x:v>46278.81434027778</x:v>
      </x:c>
      <x:c r="U53" s="32" t="str">
        <x:v>alias</x:v>
      </x:c>
      <x:c r="V53" s="32" t="str">
        <x:v>B</x:v>
      </x:c>
      <x:c r="W53" s="32" t="str">
        <x:v>Yüklü Debi_ve_Kurulu_Guc-13092026.xlsx</x:v>
      </x:c>
      <x:c r="X53" s="32" t="str">
        <x:v>Yüklü Debi_ve_Kurulu_Guc-13092026.xlsx</x:v>
      </x:c>
      <x:c r="Y53" s="32"/>
      <x:c r="Z53" s="32" t="str">
        <x:v>10</x:v>
      </x:c>
      <x:c r="AA53" s="101" t="str">
        <x:v>Baraj adı eşleşmesi: SÜREYYABEY (ÇEKEREK); Kaskat alanında kaynak değeri '10' (belirsiz/sentinel); Koordinat güvenilir açık kaynaktan doğrulanamadı</x:v>
      </x:c>
    </x:row>
    <x:row r="54" ht="30" customHeight="1">
      <x:c r="A54" s="100" t="n">
        <x:v>51</x:v>
      </x:c>
      <x:c r="B54" s="32" t="str">
        <x:v>ÇERMİKLER HES</x:v>
      </x:c>
      <x:c r="C54" s="32" t="str">
        <x:v>Kızılırmak</x:v>
      </x:c>
      <x:c r="D54" s="32" t="str">
        <x:v>Kızılırmak</x:v>
      </x:c>
      <x:c r="E54" s="34" t="n">
        <x:v>15</x:v>
      </x:c>
      <x:c r="F54" s="32" t="str">
        <x:v>https://cbs1.tarimorman.gov.tr/server/rest/services/TATUS/FeatureServer/11/query?where=ID%3D15&amp;outFields=ID%2CHAVZA_ADI%2CALAN_KM2&amp;returnGeometry=true&amp;outSR=4326&amp;f=geojson</x:v>
      </x:c>
      <x:c r="G54" s="32" t="str">
        <x:v>ÇERMİKLER</x:v>
      </x:c>
      <x:c r="H54" s="32" t="str">
        <x:v>SİVAS</x:v>
      </x:c>
      <x:c r="I54" s="36"/>
      <x:c r="J54" s="36"/>
      <x:c r="K54" s="38" t="n">
        <x:v>1190.7</x:v>
      </x:c>
      <x:c r="L54" s="38" t="n">
        <x:v>1189</x:v>
      </x:c>
      <x:c r="M54" s="32" t="str">
        <x:v>YAMULA HES</x:v>
      </x:c>
      <x:c r="N54" s="38" t="n">
        <x:v>25</x:v>
      </x:c>
      <x:c r="O54" s="38" t="n">
        <x:v>55</x:v>
      </x:c>
      <x:c r="P54" s="38" t="n">
        <x:v>37.4</x:v>
      </x:c>
      <x:c r="Q54" s="38" t="n">
        <x:v>30.5</x:v>
      </x:c>
      <x:c r="R54" s="38" t="n">
        <x:v>5.95</x:v>
      </x:c>
      <x:c r="S54" s="38" t="n">
        <x:v>0.39</x:v>
      </x:c>
      <x:c r="T54" s="40" t="n">
        <x:v>46278.81434027778</x:v>
      </x:c>
      <x:c r="U54" s="32" t="str">
        <x:v>exact</x:v>
      </x:c>
      <x:c r="V54" s="32" t="str">
        <x:v>B</x:v>
      </x:c>
      <x:c r="W54" s="32" t="str">
        <x:v>Yüklü Debi_ve_Kurulu_Guc-13092026.xlsx</x:v>
      </x:c>
      <x:c r="X54" s="32" t="str">
        <x:v>Yüklü Debi_ve_Kurulu_Guc-13092026.xlsx</x:v>
      </x:c>
      <x:c r="Y54" s="32"/>
      <x:c r="Z54" s="32" t="str">
        <x:v>YAMULA HES</x:v>
      </x:c>
      <x:c r="AA54" s="101" t="str">
        <x:v>Koordinat güvenilir açık kaynaktan doğrulanamadı</x:v>
      </x:c>
    </x:row>
    <x:row r="55" ht="30" customHeight="1">
      <x:c r="A55" s="100" t="n">
        <x:v>52</x:v>
      </x:c>
      <x:c r="B55" s="32" t="str">
        <x:v>ÇETİN HES</x:v>
      </x:c>
      <x:c r="C55" s="32" t="str">
        <x:v>Fırat Dicle</x:v>
      </x:c>
      <x:c r="D55" s="32" t="str">
        <x:v>Fırat-Dicle</x:v>
      </x:c>
      <x:c r="E55" s="34" t="n">
        <x:v>21</x:v>
      </x:c>
      <x:c r="F55" s="32" t="str">
        <x:v>https://cbs1.tarimorman.gov.tr/server/rest/services/TATUS/FeatureServer/11/query?where=ID%3D21&amp;outFields=ID%2CHAVZA_ADI%2CALAN_KM2&amp;returnGeometry=true&amp;outSR=4326&amp;f=geojson</x:v>
      </x:c>
      <x:c r="G55" s="32" t="str">
        <x:v>ÇETİN</x:v>
      </x:c>
      <x:c r="H55" s="32" t="str">
        <x:v>SİİRT</x:v>
      </x:c>
      <x:c r="I55" s="36"/>
      <x:c r="J55" s="36"/>
      <x:c r="K55" s="38" t="n">
        <x:v>822</x:v>
      </x:c>
      <x:c r="L55" s="38" t="n">
        <x:v>780</x:v>
      </x:c>
      <x:c r="M55" s="32" t="str">
        <x:v>ALKUMRU HES</x:v>
      </x:c>
      <x:c r="N55" s="38" t="n">
        <x:v>420</x:v>
      </x:c>
      <x:c r="O55" s="38"/>
      <x:c r="P55" s="38"/>
      <x:c r="Q55" s="38"/>
      <x:c r="R55" s="38"/>
      <x:c r="S55" s="38"/>
      <x:c r="T55" s="40"/>
      <x:c r="U55" s="32" t="str">
        <x:v>eşleşme yok</x:v>
      </x:c>
      <x:c r="V55" s="32" t="str">
        <x:v>C</x:v>
      </x:c>
      <x:c r="W55" s="32" t="str">
        <x:v>https://openinframap.org/stats/area/Turkey/plants?source=hydro</x:v>
      </x:c>
      <x:c r="X55" s="32" t="str">
        <x:v>https://openinframap.org/stats/area/Turkey/plants?source=hydro</x:v>
      </x:c>
      <x:c r="Y55" s="32"/>
      <x:c r="Z55" s="32" t="str">
        <x:v>ALKUMRU HES</x:v>
      </x:c>
      <x:c r="AA55" s="101" t="str">
        <x:v>EPİAŞ su göstergesi eşleşmesi bulunamadı; Koordinat güvenilir açık kaynaktan doğrulanamadı; Ünite debisi doğrulanamadı; Maksimum/minimum hacim doğrulanamadı</x:v>
      </x:c>
    </x:row>
    <x:row r="56" ht="30" customHeight="1">
      <x:c r="A56" s="100" t="n">
        <x:v>53</x:v>
      </x:c>
      <x:c r="B56" s="32" t="str">
        <x:v>ÇILDIR HES</x:v>
      </x:c>
      <x:c r="C56" s="32" t="str">
        <x:v>Aras</x:v>
      </x:c>
      <x:c r="D56" s="32" t="str">
        <x:v>Aras</x:v>
      </x:c>
      <x:c r="E56" s="34" t="n">
        <x:v>24</x:v>
      </x:c>
      <x:c r="F56" s="32" t="str">
        <x:v>https://cbs1.tarimorman.gov.tr/server/rest/services/TATUS/FeatureServer/11/query?where=ID%3D24&amp;outFields=ID%2CHAVZA_ADI%2CALAN_KM2&amp;returnGeometry=true&amp;outSR=4326&amp;f=geojson</x:v>
      </x:c>
      <x:c r="G56" s="32" t="str">
        <x:v>ÇILDIR</x:v>
      </x:c>
      <x:c r="H56" s="32" t="str">
        <x:v>ARDAHAN</x:v>
      </x:c>
      <x:c r="I56" s="36"/>
      <x:c r="J56" s="36"/>
      <x:c r="K56" s="38" t="n">
        <x:v>1962</x:v>
      </x:c>
      <x:c r="L56" s="38" t="n">
        <x:v>1953</x:v>
      </x:c>
      <x:c r="M56" s="32"/>
      <x:c r="N56" s="38" t="n">
        <x:v>15.36</x:v>
      </x:c>
      <x:c r="O56" s="38"/>
      <x:c r="P56" s="38"/>
      <x:c r="Q56" s="38"/>
      <x:c r="R56" s="38"/>
      <x:c r="S56" s="38"/>
      <x:c r="T56" s="40"/>
      <x:c r="U56" s="32" t="str">
        <x:v>eşleşme yok</x:v>
      </x:c>
      <x:c r="V56" s="32" t="str">
        <x:v>C</x:v>
      </x:c>
      <x:c r="W56" s="32" t="str">
        <x:v>https://openinframap.org/stats/area/Turkey/plants?source=hydro</x:v>
      </x:c>
      <x:c r="X56" s="32" t="str">
        <x:v>https://openinframap.org/stats/area/Turkey/plants?source=hydro</x:v>
      </x:c>
      <x:c r="Y56" s="32"/>
      <x:c r="Z56" s="32" t="str">
        <x:v>10</x:v>
      </x:c>
      <x:c r="AA56" s="101" t="str">
        <x:v>EPİAŞ su göstergesi eşleşmesi bulunamadı; Kaskat alanında kaynak değeri '10' (belirsiz/sentinel); Koordinat güvenilir açık kaynaktan doğrulanamadı; Ünite debisi doğrulanamadı; Maksimum/minimum hacim doğrulanamadı</x:v>
      </x:c>
    </x:row>
    <x:row r="57" ht="30" customHeight="1">
      <x:c r="A57" s="100" t="n">
        <x:v>54</x:v>
      </x:c>
      <x:c r="B57" s="32" t="str">
        <x:v>ÇİNE HES</x:v>
      </x:c>
      <x:c r="C57" s="32" t="str">
        <x:v>Büyük Menderes</x:v>
      </x:c>
      <x:c r="D57" s="32" t="str">
        <x:v>Büyük Menderes</x:v>
      </x:c>
      <x:c r="E57" s="34" t="n">
        <x:v>7</x:v>
      </x:c>
      <x:c r="F57" s="32" t="str">
        <x:v>https://cbs1.tarimorman.gov.tr/server/rest/services/TATUS/FeatureServer/11/query?where=ID%3D7&amp;outFields=ID%2CHAVZA_ADI%2CALAN_KM2&amp;returnGeometry=true&amp;outSR=4326&amp;f=geojson</x:v>
      </x:c>
      <x:c r="G57" s="32" t="str">
        <x:v>ÇİNE ADNAN MENDERES</x:v>
      </x:c>
      <x:c r="H57" s="32" t="str">
        <x:v>AYDIN</x:v>
      </x:c>
      <x:c r="I57" s="36" t="n">
        <x:v>37.49475</x:v>
      </x:c>
      <x:c r="J57" s="36" t="n">
        <x:v>28.12994</x:v>
      </x:c>
      <x:c r="K57" s="38" t="n">
        <x:v>260</x:v>
      </x:c>
      <x:c r="L57" s="38" t="n">
        <x:v>220</x:v>
      </x:c>
      <x:c r="M57" s="32"/>
      <x:c r="N57" s="38" t="n">
        <x:v>47.2</x:v>
      </x:c>
      <x:c r="O57" s="38" t="n">
        <x:v>35</x:v>
      </x:c>
      <x:c r="P57" s="38" t="n">
        <x:v>350</x:v>
      </x:c>
      <x:c r="Q57" s="38" t="n">
        <x:v>37</x:v>
      </x:c>
      <x:c r="R57" s="38" t="n">
        <x:v>162.25</x:v>
      </x:c>
      <x:c r="S57" s="38" t="n">
        <x:v>54.25</x:v>
      </x:c>
      <x:c r="T57" s="40" t="n">
        <x:v>46278.81434027778</x:v>
      </x:c>
      <x:c r="U57" s="32" t="str">
        <x:v>alias</x:v>
      </x:c>
      <x:c r="V57" s="32" t="str">
        <x:v>A</x:v>
      </x:c>
      <x:c r="W57" s="32" t="str">
        <x:v>Yüklü Debi_ve_Kurulu_Guc-13092026.xlsx</x:v>
      </x:c>
      <x:c r="X57" s="32" t="str">
        <x:v>Yüklü Debi_ve_Kurulu_Guc-13092026.xlsx</x:v>
      </x:c>
      <x:c r="Y57" s="32" t="str">
        <x:v>https://cbs1.tarimorman.gov.tr/server/rest/services/TATUS/FeatureServer/7</x:v>
      </x:c>
      <x:c r="Z57" s="32" t="str">
        <x:v>10</x:v>
      </x:c>
      <x:c r="AA57" s="101" t="str">
        <x:v>Baraj adı eşleşmesi: ÇİNE ADNAN MENDERES; Kaskat alanında kaynak değeri '10' (belirsiz/sentinel)</x:v>
      </x:c>
    </x:row>
    <x:row r="58" ht="30" customHeight="1">
      <x:c r="A58" s="100" t="n">
        <x:v>55</x:v>
      </x:c>
      <x:c r="B58" s="32" t="str">
        <x:v>DARICA1 HES</x:v>
      </x:c>
      <x:c r="C58" s="32" t="str">
        <x:v>Doğu Karadeniz</x:v>
      </x:c>
      <x:c r="D58" s="32" t="str">
        <x:v>Doğu Karadeniz</x:v>
      </x:c>
      <x:c r="E58" s="34" t="n">
        <x:v>22</x:v>
      </x:c>
      <x:c r="F58" s="32" t="str">
        <x:v>https://cbs1.tarimorman.gov.tr/server/rest/services/TATUS/FeatureServer/11/query?where=ID%3D22&amp;outFields=ID%2CHAVZA_ADI%2CALAN_KM2&amp;returnGeometry=true&amp;outSR=4326&amp;f=geojson</x:v>
      </x:c>
      <x:c r="G58" s="32" t="str">
        <x:v>DARICA1</x:v>
      </x:c>
      <x:c r="H58" s="32" t="str">
        <x:v>ORDU</x:v>
      </x:c>
      <x:c r="I58" s="36"/>
      <x:c r="J58" s="36"/>
      <x:c r="K58" s="38" t="n">
        <x:v>650</x:v>
      </x:c>
      <x:c r="L58" s="38" t="n">
        <x:v>640</x:v>
      </x:c>
      <x:c r="M58" s="32"/>
      <x:c r="N58" s="38" t="n">
        <x:v>110</x:v>
      </x:c>
      <x:c r="O58" s="38"/>
      <x:c r="P58" s="38"/>
      <x:c r="Q58" s="38"/>
      <x:c r="R58" s="38"/>
      <x:c r="S58" s="38"/>
      <x:c r="T58" s="40"/>
      <x:c r="U58" s="32" t="str">
        <x:v>eşleşme yok</x:v>
      </x:c>
      <x:c r="V58" s="32" t="str">
        <x:v>C</x:v>
      </x:c>
      <x:c r="W58" s="32" t="str">
        <x:v>https://www.enerjiatlasi.com/hidroelektrik/?v=1.0.24</x:v>
      </x:c>
      <x:c r="X58" s="32" t="str">
        <x:v>https://openinframap.org/stats/area/Turkey/plants?source=hydro</x:v>
      </x:c>
      <x:c r="Y58" s="32"/>
      <x:c r="Z58" s="32" t="str">
        <x:v>10</x:v>
      </x:c>
      <x:c r="AA58" s="101" t="str">
        <x:v>EPİAŞ su göstergesi eşleşmesi bulunamadı; Kaskat alanında kaynak değeri '10' (belirsiz/sentinel); Koordinat güvenilir açık kaynaktan doğrulanamadı; Ünite debisi doğrulanamadı; Maksimum/minimum hacim doğrulanamadı</x:v>
      </x:c>
    </x:row>
    <x:row r="59" ht="30" customHeight="1">
      <x:c r="A59" s="100" t="n">
        <x:v>56</x:v>
      </x:c>
      <x:c r="B59" s="32" t="str">
        <x:v>DARICA2 HES</x:v>
      </x:c>
      <x:c r="C59" s="32" t="str">
        <x:v>Doğu Karadeniz</x:v>
      </x:c>
      <x:c r="D59" s="32" t="str">
        <x:v>Doğu Karadeniz</x:v>
      </x:c>
      <x:c r="E59" s="34" t="n">
        <x:v>22</x:v>
      </x:c>
      <x:c r="F59" s="32" t="str">
        <x:v>https://cbs1.tarimorman.gov.tr/server/rest/services/TATUS/FeatureServer/11/query?where=ID%3D22&amp;outFields=ID%2CHAVZA_ADI%2CALAN_KM2&amp;returnGeometry=true&amp;outSR=4326&amp;f=geojson</x:v>
      </x:c>
      <x:c r="G59" s="32" t="str">
        <x:v>DARICA2</x:v>
      </x:c>
      <x:c r="H59" s="32" t="str">
        <x:v>ORDU</x:v>
      </x:c>
      <x:c r="I59" s="36"/>
      <x:c r="J59" s="36"/>
      <x:c r="K59" s="38" t="n">
        <x:v>1395</x:v>
      </x:c>
      <x:c r="L59" s="38" t="n">
        <x:v>1379.5</x:v>
      </x:c>
      <x:c r="M59" s="32"/>
      <x:c r="N59" s="38" t="n">
        <x:v>74</x:v>
      </x:c>
      <x:c r="O59" s="38"/>
      <x:c r="P59" s="38"/>
      <x:c r="Q59" s="38"/>
      <x:c r="R59" s="38"/>
      <x:c r="S59" s="38"/>
      <x:c r="T59" s="40"/>
      <x:c r="U59" s="32" t="str">
        <x:v>eşleşme yok</x:v>
      </x:c>
      <x:c r="V59" s="32" t="str">
        <x:v>C</x:v>
      </x:c>
      <x:c r="W59" s="32" t="str">
        <x:v>https://www.enerjiatlasi.com/hidroelektrik/?v=1.0.24</x:v>
      </x:c>
      <x:c r="X59" s="32" t="str">
        <x:v>https://openinframap.org/stats/area/Turkey/plants?source=hydro</x:v>
      </x:c>
      <x:c r="Y59" s="32"/>
      <x:c r="Z59" s="32" t="str">
        <x:v>10</x:v>
      </x:c>
      <x:c r="AA59" s="101" t="str">
        <x:v>EPİAŞ su göstergesi eşleşmesi bulunamadı; Kaskat alanında kaynak değeri '10' (belirsiz/sentinel); Koordinat güvenilir açık kaynaktan doğrulanamadı; Ünite debisi doğrulanamadı; Maksimum/minimum hacim doğrulanamadı</x:v>
      </x:c>
    </x:row>
    <x:row r="60" ht="30" customHeight="1">
      <x:c r="A60" s="100" t="n">
        <x:v>57</x:v>
      </x:c>
      <x:c r="B60" s="32" t="str">
        <x:v>DEMİRKÖPRÜ HES</x:v>
      </x:c>
      <x:c r="C60" s="32" t="str">
        <x:v>Gediz</x:v>
      </x:c>
      <x:c r="D60" s="32" t="str">
        <x:v>Gediz</x:v>
      </x:c>
      <x:c r="E60" s="34" t="n">
        <x:v>5</x:v>
      </x:c>
      <x:c r="F60" s="32" t="str">
        <x:v>https://cbs1.tarimorman.gov.tr/server/rest/services/TATUS/FeatureServer/11/query?where=ID%3D5&amp;outFields=ID%2CHAVZA_ADI%2CALAN_KM2&amp;returnGeometry=true&amp;outSR=4326&amp;f=geojson</x:v>
      </x:c>
      <x:c r="G60" s="32" t="str">
        <x:v>DEMİRKÖPRÜ</x:v>
      </x:c>
      <x:c r="H60" s="32" t="str">
        <x:v>MANİSA</x:v>
      </x:c>
      <x:c r="I60" s="36"/>
      <x:c r="J60" s="36"/>
      <x:c r="K60" s="38" t="n">
        <x:v>244.2</x:v>
      </x:c>
      <x:c r="L60" s="38" t="n">
        <x:v>221.8</x:v>
      </x:c>
      <x:c r="M60" s="32"/>
      <x:c r="N60" s="38" t="n">
        <x:v>69</x:v>
      </x:c>
      <x:c r="O60" s="38" t="n">
        <x:v>73.8</x:v>
      </x:c>
      <x:c r="P60" s="38" t="n">
        <x:v>1014.22</x:v>
      </x:c>
      <x:c r="Q60" s="38" t="n">
        <x:v>249.66</x:v>
      </x:c>
      <x:c r="R60" s="38" t="n">
        <x:v>332.42</x:v>
      </x:c>
      <x:c r="S60" s="38" t="n">
        <x:v>87.64</x:v>
      </x:c>
      <x:c r="T60" s="40" t="n">
        <x:v>46278.81434027778</x:v>
      </x:c>
      <x:c r="U60" s="32" t="str">
        <x:v>exact</x:v>
      </x:c>
      <x:c r="V60" s="32" t="str">
        <x:v>B</x:v>
      </x:c>
      <x:c r="W60" s="32" t="str">
        <x:v>Yüklü Debi_ve_Kurulu_Guc-13092026.xlsx</x:v>
      </x:c>
      <x:c r="X60" s="32" t="str">
        <x:v>Yüklü Debi_ve_Kurulu_Guc-13092026.xlsx</x:v>
      </x:c>
      <x:c r="Y60" s="32"/>
      <x:c r="Z60" s="32" t="str">
        <x:v>10</x:v>
      </x:c>
      <x:c r="AA60" s="101" t="str">
        <x:v>Kaskat alanında kaynak değeri '10' (belirsiz/sentinel); Koordinat güvenilir açık kaynaktan doğrulanamadı</x:v>
      </x:c>
    </x:row>
    <x:row r="61" ht="30" customHeight="1">
      <x:c r="A61" s="100" t="n">
        <x:v>58</x:v>
      </x:c>
      <x:c r="B61" s="32" t="str">
        <x:v>DERBENT HES</x:v>
      </x:c>
      <x:c r="C61" s="32" t="str">
        <x:v>Kızılırmak</x:v>
      </x:c>
      <x:c r="D61" s="32" t="str">
        <x:v>Kızılırmak</x:v>
      </x:c>
      <x:c r="E61" s="34" t="n">
        <x:v>15</x:v>
      </x:c>
      <x:c r="F61" s="32" t="str">
        <x:v>https://cbs1.tarimorman.gov.tr/server/rest/services/TATUS/FeatureServer/11/query?where=ID%3D15&amp;outFields=ID%2CHAVZA_ADI%2CALAN_KM2&amp;returnGeometry=true&amp;outSR=4326&amp;f=geojson</x:v>
      </x:c>
      <x:c r="G61" s="32" t="str">
        <x:v>DERBENT</x:v>
      </x:c>
      <x:c r="H61" s="32" t="str">
        <x:v>SAMSUN</x:v>
      </x:c>
      <x:c r="I61" s="36" t="n">
        <x:v>41.46121</x:v>
      </x:c>
      <x:c r="J61" s="36" t="n">
        <x:v>35.84174</x:v>
      </x:c>
      <x:c r="K61" s="38" t="n">
        <x:v>57.5</x:v>
      </x:c>
      <x:c r="L61" s="38" t="n">
        <x:v>54.5</x:v>
      </x:c>
      <x:c r="M61" s="32"/>
      <x:c r="N61" s="38" t="n">
        <x:v>56.4</x:v>
      </x:c>
      <x:c r="O61" s="38" t="n">
        <x:v>121.4</x:v>
      </x:c>
      <x:c r="P61" s="38" t="n">
        <x:v>190.01</x:v>
      </x:c>
      <x:c r="Q61" s="38" t="n">
        <x:v>145.82</x:v>
      </x:c>
      <x:c r="R61" s="38" t="n">
        <x:v>27.98</x:v>
      </x:c>
      <x:c r="S61" s="38" t="n">
        <x:v>1.52</x:v>
      </x:c>
      <x:c r="T61" s="40" t="n">
        <x:v>46278.81434027778</x:v>
      </x:c>
      <x:c r="U61" s="32" t="str">
        <x:v>exact</x:v>
      </x:c>
      <x:c r="V61" s="32" t="str">
        <x:v>A</x:v>
      </x:c>
      <x:c r="W61" s="32" t="str">
        <x:v>Yüklü Debi_ve_Kurulu_Guc-13092026.xlsx</x:v>
      </x:c>
      <x:c r="X61" s="32" t="str">
        <x:v>Yüklü Debi_ve_Kurulu_Guc-13092026.xlsx</x:v>
      </x:c>
      <x:c r="Y61" s="32" t="str">
        <x:v>https://cbs1.tarimorman.gov.tr/server/rest/services/TATUS/FeatureServer/7</x:v>
      </x:c>
      <x:c r="Z61" s="32" t="str">
        <x:v>10</x:v>
      </x:c>
      <x:c r="AA61" s="101" t="str">
        <x:v>Kaskat alanında kaynak değeri '10' (belirsiz/sentinel)</x:v>
      </x:c>
    </x:row>
    <x:row r="62" ht="30" customHeight="1">
      <x:c r="A62" s="100" t="n">
        <x:v>59</x:v>
      </x:c>
      <x:c r="B62" s="32" t="str">
        <x:v>DERİNER HES</x:v>
      </x:c>
      <x:c r="C62" s="32" t="str">
        <x:v>Çoruh</x:v>
      </x:c>
      <x:c r="D62" s="32" t="str">
        <x:v>Çoruh</x:v>
      </x:c>
      <x:c r="E62" s="34" t="n">
        <x:v>23</x:v>
      </x:c>
      <x:c r="F62" s="32" t="str">
        <x:v>https://cbs1.tarimorman.gov.tr/server/rest/services/TATUS/FeatureServer/11/query?where=ID%3D23&amp;outFields=ID%2CHAVZA_ADI%2CALAN_KM2&amp;returnGeometry=true&amp;outSR=4326&amp;f=geojson</x:v>
      </x:c>
      <x:c r="G62" s="32" t="str">
        <x:v>DERİNER</x:v>
      </x:c>
      <x:c r="H62" s="32" t="str">
        <x:v>ARTVİN</x:v>
      </x:c>
      <x:c r="I62" s="36"/>
      <x:c r="J62" s="36"/>
      <x:c r="K62" s="38" t="n">
        <x:v>392</x:v>
      </x:c>
      <x:c r="L62" s="38" t="n">
        <x:v>347.83</x:v>
      </x:c>
      <x:c r="M62" s="32" t="str">
        <x:v>BORÇKA HES</x:v>
      </x:c>
      <x:c r="N62" s="38" t="n">
        <x:v>670</x:v>
      </x:c>
      <x:c r="O62" s="38"/>
      <x:c r="P62" s="38"/>
      <x:c r="Q62" s="38"/>
      <x:c r="R62" s="38"/>
      <x:c r="S62" s="38"/>
      <x:c r="T62" s="40"/>
      <x:c r="U62" s="32" t="str">
        <x:v>eşleşme yok</x:v>
      </x:c>
      <x:c r="V62" s="32" t="str">
        <x:v>C</x:v>
      </x:c>
      <x:c r="W62" s="32" t="str">
        <x:v>https://openinframap.org/stats/area/Turkey/plants?source=hydro</x:v>
      </x:c>
      <x:c r="X62" s="32" t="str">
        <x:v>https://openinframap.org/stats/area/Turkey/plants?source=hydro</x:v>
      </x:c>
      <x:c r="Y62" s="32"/>
      <x:c r="Z62" s="32" t="str">
        <x:v>BORÇKA HES</x:v>
      </x:c>
      <x:c r="AA62" s="101" t="str">
        <x:v>EPİAŞ su göstergesi eşleşmesi bulunamadı; Koordinat güvenilir açık kaynaktan doğrulanamadı; Ünite debisi doğrulanamadı; Maksimum/minimum hacim doğrulanamadı</x:v>
      </x:c>
    </x:row>
    <x:row r="63" ht="30" customHeight="1">
      <x:c r="A63" s="100" t="n">
        <x:v>60</x:v>
      </x:c>
      <x:c r="B63" s="32" t="str">
        <x:v>DEVECİ KONAĞI HES</x:v>
      </x:c>
      <x:c r="C63" s="32" t="str">
        <x:v>Susurluk</x:v>
      </x:c>
      <x:c r="D63" s="32" t="str">
        <x:v>Susurluk</x:v>
      </x:c>
      <x:c r="E63" s="34" t="n">
        <x:v>3</x:v>
      </x:c>
      <x:c r="F63" s="32" t="str">
        <x:v>https://cbs1.tarimorman.gov.tr/server/rest/services/TATUS/FeatureServer/11/query?where=ID%3D3&amp;outFields=ID%2CHAVZA_ADI%2CALAN_KM2&amp;returnGeometry=true&amp;outSR=4326&amp;f=geojson</x:v>
      </x:c>
      <x:c r="G63" s="32" t="str">
        <x:v>DEVECİKONAĞI</x:v>
      </x:c>
      <x:c r="H63" s="32" t="str">
        <x:v>BURSA</x:v>
      </x:c>
      <x:c r="I63" s="36"/>
      <x:c r="J63" s="36"/>
      <x:c r="K63" s="38" t="n">
        <x:v>95.4</x:v>
      </x:c>
      <x:c r="L63" s="38" t="n">
        <x:v>90</x:v>
      </x:c>
      <x:c r="M63" s="32"/>
      <x:c r="N63" s="38" t="n">
        <x:v>28.9</x:v>
      </x:c>
      <x:c r="O63" s="38" t="n">
        <x:v>120</x:v>
      </x:c>
      <x:c r="P63" s="38" t="n">
        <x:v>6.21</x:v>
      </x:c>
      <x:c r="Q63" s="38" t="n">
        <x:v>4.33</x:v>
      </x:c>
      <x:c r="R63" s="38" t="n">
        <x:v>1.52</x:v>
      </x:c>
      <x:c r="S63" s="38" t="n">
        <x:v>0.1</x:v>
      </x:c>
      <x:c r="T63" s="40" t="n">
        <x:v>46278.81434027778</x:v>
      </x:c>
      <x:c r="U63" s="32" t="str">
        <x:v>alias</x:v>
      </x:c>
      <x:c r="V63" s="32" t="str">
        <x:v>B</x:v>
      </x:c>
      <x:c r="W63" s="32" t="str">
        <x:v>Yüklü Debi_ve_Kurulu_Guc-13092026.xlsx</x:v>
      </x:c>
      <x:c r="X63" s="32" t="str">
        <x:v>Yüklü Debi_ve_Kurulu_Guc-13092026.xlsx</x:v>
      </x:c>
      <x:c r="Y63" s="32"/>
      <x:c r="Z63" s="32" t="str">
        <x:v>10</x:v>
      </x:c>
      <x:c r="AA63" s="101" t="str">
        <x:v>Baraj adı eşleşmesi: DEVECİKONAĞI; Kaskat alanında kaynak değeri '10' (belirsiz/sentinel); Koordinat güvenilir açık kaynaktan doğrulanamadı</x:v>
      </x:c>
    </x:row>
    <x:row r="64" ht="30" customHeight="1">
      <x:c r="A64" s="100" t="n">
        <x:v>61</x:v>
      </x:c>
      <x:c r="B64" s="32" t="str">
        <x:v>DİCLE HES</x:v>
      </x:c>
      <x:c r="C64" s="32" t="str">
        <x:v>Fırat Dicle</x:v>
      </x:c>
      <x:c r="D64" s="32" t="str">
        <x:v>Fırat-Dicle</x:v>
      </x:c>
      <x:c r="E64" s="34" t="n">
        <x:v>21</x:v>
      </x:c>
      <x:c r="F64" s="32" t="str">
        <x:v>https://cbs1.tarimorman.gov.tr/server/rest/services/TATUS/FeatureServer/11/query?where=ID%3D21&amp;outFields=ID%2CHAVZA_ADI%2CALAN_KM2&amp;returnGeometry=true&amp;outSR=4326&amp;f=geojson</x:v>
      </x:c>
      <x:c r="G64" s="32" t="str">
        <x:v>DİCLE</x:v>
      </x:c>
      <x:c r="H64" s="32" t="str">
        <x:v>DİYARBAKIR</x:v>
      </x:c>
      <x:c r="I64" s="36"/>
      <x:c r="J64" s="36"/>
      <x:c r="K64" s="38" t="n">
        <x:v>715</x:v>
      </x:c>
      <x:c r="L64" s="38" t="n">
        <x:v>697</x:v>
      </x:c>
      <x:c r="M64" s="32" t="str">
        <x:v>ILISU HES</x:v>
      </x:c>
      <x:c r="N64" s="38" t="n">
        <x:v>110</x:v>
      </x:c>
      <x:c r="O64" s="38"/>
      <x:c r="P64" s="38"/>
      <x:c r="Q64" s="38"/>
      <x:c r="R64" s="38"/>
      <x:c r="S64" s="38"/>
      <x:c r="T64" s="40"/>
      <x:c r="U64" s="32" t="str">
        <x:v>eşleşme yok</x:v>
      </x:c>
      <x:c r="V64" s="32" t="str">
        <x:v>C</x:v>
      </x:c>
      <x:c r="W64" s="32" t="str">
        <x:v>https://openinframap.org/stats/area/Turkey/plants?source=hydro</x:v>
      </x:c>
      <x:c r="X64" s="32" t="str">
        <x:v>https://openinframap.org/stats/area/Turkey/plants?source=hydro</x:v>
      </x:c>
      <x:c r="Y64" s="32"/>
      <x:c r="Z64" s="32" t="str">
        <x:v>ILISU HES</x:v>
      </x:c>
      <x:c r="AA64" s="101" t="str">
        <x:v>EPİAŞ su göstergesi eşleşmesi bulunamadı; Koordinat güvenilir açık kaynaktan doğrulanamadı; Ünite debisi doğrulanamadı; Maksimum/minimum hacim doğrulanamadı</x:v>
      </x:c>
    </x:row>
    <x:row r="65" ht="30" customHeight="1">
      <x:c r="A65" s="100" t="n">
        <x:v>62</x:v>
      </x:c>
      <x:c r="B65" s="32" t="str">
        <x:v>DİM HES</x:v>
      </x:c>
      <x:c r="C65" s="32" t="str">
        <x:v>Orta Akdeniz</x:v>
      </x:c>
      <x:c r="D65" s="32" t="str">
        <x:v>Antalya</x:v>
      </x:c>
      <x:c r="E65" s="34" t="n">
        <x:v>9</x:v>
      </x:c>
      <x:c r="F65" s="32" t="str">
        <x:v>https://cbs1.tarimorman.gov.tr/server/rest/services/TATUS/FeatureServer/11/query?where=ID%3D9&amp;outFields=ID%2CHAVZA_ADI%2CALAN_KM2&amp;returnGeometry=true&amp;outSR=4326&amp;f=geojson</x:v>
      </x:c>
      <x:c r="G65" s="32" t="str">
        <x:v>DİM</x:v>
      </x:c>
      <x:c r="H65" s="32" t="str">
        <x:v>ANTALYA</x:v>
      </x:c>
      <x:c r="I65" s="36"/>
      <x:c r="J65" s="36"/>
      <x:c r="K65" s="38" t="n">
        <x:v>169.5</x:v>
      </x:c>
      <x:c r="L65" s="38" t="n">
        <x:v>130</x:v>
      </x:c>
      <x:c r="M65" s="32"/>
      <x:c r="N65" s="38" t="n">
        <x:v>38.3</x:v>
      </x:c>
      <x:c r="O65" s="38" t="n">
        <x:v>32.1</x:v>
      </x:c>
      <x:c r="P65" s="38" t="n">
        <x:v>236.3</x:v>
      </x:c>
      <x:c r="Q65" s="38" t="n">
        <x:v>85.56</x:v>
      </x:c>
      <x:c r="R65" s="38"/>
      <x:c r="S65" s="38"/>
      <x:c r="T65" s="40" t="n">
        <x:v>46278.81434027778</x:v>
      </x:c>
      <x:c r="U65" s="32" t="str">
        <x:v>exact</x:v>
      </x:c>
      <x:c r="V65" s="32" t="str">
        <x:v>B</x:v>
      </x:c>
      <x:c r="W65" s="32" t="str">
        <x:v>Yüklü Debi_ve_Kurulu_Guc-13092026.xlsx</x:v>
      </x:c>
      <x:c r="X65" s="32" t="str">
        <x:v>Yüklü Debi_ve_Kurulu_Guc-13092026.xlsx</x:v>
      </x:c>
      <x:c r="Y65" s="32"/>
      <x:c r="Z65" s="32" t="str">
        <x:v>10</x:v>
      </x:c>
      <x:c r="AA65" s="101" t="str">
        <x:v>Kaskat alanında kaynak değeri '10' (belirsiz/sentinel); Koordinat güvenilir açık kaynaktan doğrulanamadı</x:v>
      </x:c>
    </x:row>
    <x:row r="66" ht="30" customHeight="1">
      <x:c r="A66" s="100" t="n">
        <x:v>63</x:v>
      </x:c>
      <x:c r="B66" s="32" t="str">
        <x:v>DİNAR2 HES</x:v>
      </x:c>
      <x:c r="C66" s="32" t="str">
        <x:v>Büyük Menderes</x:v>
      </x:c>
      <x:c r="D66" s="32" t="str">
        <x:v>Büyük Menderes</x:v>
      </x:c>
      <x:c r="E66" s="34" t="n">
        <x:v>7</x:v>
      </x:c>
      <x:c r="F66" s="32" t="str">
        <x:v>https://cbs1.tarimorman.gov.tr/server/rest/services/TATUS/FeatureServer/11/query?where=ID%3D7&amp;outFields=ID%2CHAVZA_ADI%2CALAN_KM2&amp;returnGeometry=true&amp;outSR=4326&amp;f=geojson</x:v>
      </x:c>
      <x:c r="G66" s="32" t="str">
        <x:v>DİNAR2</x:v>
      </x:c>
      <x:c r="H66" s="32" t="str">
        <x:v>AFYONKARAHİSAR</x:v>
      </x:c>
      <x:c r="I66" s="36"/>
      <x:c r="J66" s="36"/>
      <x:c r="K66" s="38" t="n">
        <x:v>2.4</x:v>
      </x:c>
      <x:c r="L66" s="38" t="n">
        <x:v>1.2</x:v>
      </x:c>
      <x:c r="M66" s="32"/>
      <x:c r="N66" s="38" t="n">
        <x:v>3</x:v>
      </x:c>
      <x:c r="O66" s="38"/>
      <x:c r="P66" s="38"/>
      <x:c r="Q66" s="38"/>
      <x:c r="R66" s="38"/>
      <x:c r="S66" s="38"/>
      <x:c r="T66" s="40"/>
      <x:c r="U66" s="32" t="str">
        <x:v>eşleşme yok</x:v>
      </x:c>
      <x:c r="V66" s="32" t="str">
        <x:v>C</x:v>
      </x:c>
      <x:c r="W66" s="32" t="str">
        <x:v>https://www.enerjiatlasi.com/hidroelektrik/dinar-2-hes.html</x:v>
      </x:c>
      <x:c r="X66" s="32" t="str">
        <x:v>https://openinframap.org/stats/area/Turkey/plants?source=hydro</x:v>
      </x:c>
      <x:c r="Y66" s="32"/>
      <x:c r="Z66" s="32" t="str">
        <x:v>10</x:v>
      </x:c>
      <x:c r="AA66" s="101" t="str">
        <x:v>EPİAŞ su göstergesi eşleşmesi bulunamadı; Kaskat alanında kaynak değeri '10' (belirsiz/sentinel); Koordinat güvenilir açık kaynaktan doğrulanamadı; Ünite debisi doğrulanamadı; Maksimum/minimum hacim doğrulanamadı</x:v>
      </x:c>
    </x:row>
    <x:row r="67" ht="30" customHeight="1">
      <x:c r="A67" s="100" t="n">
        <x:v>64</x:v>
      </x:c>
      <x:c r="B67" s="32" t="str">
        <x:v>DOĞANKAYA HES</x:v>
      </x:c>
      <x:c r="C67" s="32" t="str">
        <x:v>Fırat Dicle</x:v>
      </x:c>
      <x:c r="D67" s="32" t="str">
        <x:v>Fırat-Dicle</x:v>
      </x:c>
      <x:c r="E67" s="34" t="n">
        <x:v>21</x:v>
      </x:c>
      <x:c r="F67" s="32" t="str">
        <x:v>https://cbs1.tarimorman.gov.tr/server/rest/services/TATUS/FeatureServer/11/query?where=ID%3D21&amp;outFields=ID%2CHAVZA_ADI%2CALAN_KM2&amp;returnGeometry=true&amp;outSR=4326&amp;f=geojson</x:v>
      </x:c>
      <x:c r="G67" s="32" t="str">
        <x:v>DOĞANKAYA</x:v>
      </x:c>
      <x:c r="H67" s="32" t="str">
        <x:v>ADIYAMAN</x:v>
      </x:c>
      <x:c r="I67" s="36"/>
      <x:c r="J67" s="36"/>
      <x:c r="K67" s="38" t="n">
        <x:v>567</x:v>
      </x:c>
      <x:c r="L67" s="38" t="n">
        <x:v>565</x:v>
      </x:c>
      <x:c r="M67" s="32"/>
      <x:c r="N67" s="38" t="n">
        <x:v>20.55</x:v>
      </x:c>
      <x:c r="O67" s="38"/>
      <x:c r="P67" s="38"/>
      <x:c r="Q67" s="38"/>
      <x:c r="R67" s="38"/>
      <x:c r="S67" s="38"/>
      <x:c r="T67" s="40"/>
      <x:c r="U67" s="32" t="str">
        <x:v>eşleşme yok</x:v>
      </x:c>
      <x:c r="V67" s="32" t="str">
        <x:v>C</x:v>
      </x:c>
      <x:c r="W67" s="32" t="str">
        <x:v>https://www.gulsanholding.com.tr/dogankaya_hes.asp?Dil=tr</x:v>
      </x:c>
      <x:c r="X67" s="32" t="str">
        <x:v>https://openinframap.org/stats/area/Turkey/plants?source=hydro</x:v>
      </x:c>
      <x:c r="Y67" s="32"/>
      <x:c r="Z67" s="32" t="str">
        <x:v>10</x:v>
      </x:c>
      <x:c r="AA67" s="101" t="str">
        <x:v>EPİAŞ su göstergesi eşleşmesi bulunamadı; Kaskat alanında kaynak değeri '10' (belirsiz/sentinel); Koordinat güvenilir açık kaynaktan doğrulanamadı; Ünite debisi doğrulanamadı; Maksimum/minimum hacim doğrulanamadı</x:v>
      </x:c>
    </x:row>
    <x:row r="68" ht="30" customHeight="1">
      <x:c r="A68" s="100" t="n">
        <x:v>65</x:v>
      </x:c>
      <x:c r="B68" s="32" t="str">
        <x:v>DOĞANKENT HES</x:v>
      </x:c>
      <x:c r="C68" s="32" t="str">
        <x:v>Doğu Karadeniz</x:v>
      </x:c>
      <x:c r="D68" s="32" t="str">
        <x:v>Doğu Karadeniz</x:v>
      </x:c>
      <x:c r="E68" s="34" t="n">
        <x:v>22</x:v>
      </x:c>
      <x:c r="F68" s="32" t="str">
        <x:v>https://cbs1.tarimorman.gov.tr/server/rest/services/TATUS/FeatureServer/11/query?where=ID%3D22&amp;outFields=ID%2CHAVZA_ADI%2CALAN_KM2&amp;returnGeometry=true&amp;outSR=4326&amp;f=geojson</x:v>
      </x:c>
      <x:c r="G68" s="32" t="str">
        <x:v>DOĞANKENT</x:v>
      </x:c>
      <x:c r="H68" s="32" t="str">
        <x:v>GİRESUN</x:v>
      </x:c>
      <x:c r="I68" s="36"/>
      <x:c r="J68" s="36"/>
      <x:c r="K68" s="38" t="n">
        <x:v>380</x:v>
      </x:c>
      <x:c r="L68" s="38" t="n">
        <x:v>375</x:v>
      </x:c>
      <x:c r="M68" s="32"/>
      <x:c r="N68" s="38" t="n">
        <x:v>74</x:v>
      </x:c>
      <x:c r="O68" s="38"/>
      <x:c r="P68" s="38"/>
      <x:c r="Q68" s="38"/>
      <x:c r="R68" s="38"/>
      <x:c r="S68" s="38"/>
      <x:c r="T68" s="40"/>
      <x:c r="U68" s="32" t="str">
        <x:v>eşleşme yok</x:v>
      </x:c>
      <x:c r="V68" s="32" t="str">
        <x:v>C</x:v>
      </x:c>
      <x:c r="W68" s="32" t="str">
        <x:v>https://www.enerjiatlasi.com/hidroelektrik/?v=1.0.24</x:v>
      </x:c>
      <x:c r="X68" s="32" t="str">
        <x:v>https://openinframap.org/stats/area/Turkey/plants?source=hydro</x:v>
      </x:c>
      <x:c r="Y68" s="32"/>
      <x:c r="Z68" s="32" t="str">
        <x:v>10</x:v>
      </x:c>
      <x:c r="AA68" s="101" t="str">
        <x:v>EPİAŞ su göstergesi eşleşmesi bulunamadı; Kaskat alanında kaynak değeri '10' (belirsiz/sentinel); Koordinat güvenilir açık kaynaktan doğrulanamadı; Ünite debisi doğrulanamadı; Maksimum/minimum hacim doğrulanamadı</x:v>
      </x:c>
    </x:row>
    <x:row r="69" ht="30" customHeight="1">
      <x:c r="A69" s="100" t="n">
        <x:v>66</x:v>
      </x:c>
      <x:c r="B69" s="32" t="str">
        <x:v>EREN HES</x:v>
      </x:c>
      <x:c r="C69" s="32" t="str">
        <x:v>Batı Karadeniz</x:v>
      </x:c>
      <x:c r="D69" s="32" t="str">
        <x:v>Batı Karadeniz</x:v>
      </x:c>
      <x:c r="E69" s="34" t="n">
        <x:v>13</x:v>
      </x:c>
      <x:c r="F69" s="32" t="str">
        <x:v>https://cbs1.tarimorman.gov.tr/server/rest/services/TATUS/FeatureServer/11/query?where=ID%3D13&amp;outFields=ID%2CHAVZA_ADI%2CALAN_KM2&amp;returnGeometry=true&amp;outSR=4326&amp;f=geojson</x:v>
      </x:c>
      <x:c r="G69" s="32" t="str">
        <x:v>EREN</x:v>
      </x:c>
      <x:c r="H69" s="32" t="str">
        <x:v>KARABÜK</x:v>
      </x:c>
      <x:c r="I69" s="36"/>
      <x:c r="J69" s="36"/>
      <x:c r="K69" s="38" t="n">
        <x:v>530.28</x:v>
      </x:c>
      <x:c r="L69" s="38" t="n">
        <x:v>529.5</x:v>
      </x:c>
      <x:c r="M69" s="32"/>
      <x:c r="N69" s="38" t="n">
        <x:v>37</x:v>
      </x:c>
      <x:c r="O69" s="38"/>
      <x:c r="P69" s="38"/>
      <x:c r="Q69" s="38"/>
      <x:c r="R69" s="38"/>
      <x:c r="S69" s="38"/>
      <x:c r="T69" s="40"/>
      <x:c r="U69" s="32" t="str">
        <x:v>eşleşme yok</x:v>
      </x:c>
      <x:c r="V69" s="32" t="str">
        <x:v>C</x:v>
      </x:c>
      <x:c r="W69" s="32" t="str">
        <x:v>https://www.kalkinmakutuphanesi.gov.tr/assets/upload/dosyalar/2014-2023-bati-karadeniz-bolge-plani-cilt1-mevcut-durum-analizi-1-2.pdf</x:v>
      </x:c>
      <x:c r="X69" s="32" t="str">
        <x:v>https://www.kalkinmakutuphanesi.gov.tr/assets/upload/dosyalar/2014-2023-bati-karadeniz-bolge-plani-cilt1-mevcut-durum-analizi-1-2.pdf</x:v>
      </x:c>
      <x:c r="Y69" s="32"/>
      <x:c r="Z69" s="32" t="str">
        <x:v>10</x:v>
      </x:c>
      <x:c r="AA69" s="101" t="str">
        <x:v>EPİAŞ su göstergesi eşleşmesi bulunamadı; Kaskat alanında kaynak değeri '10' (belirsiz/sentinel); Koordinat güvenilir açık kaynaktan doğrulanamadı; Kurulu güç bulunamadı; Eksik kurulu güç/il bilgisi kamuya açık web kaynağıyla tamamlandı; Ünite debisi doğrulanamadı; Maksimum/minimum hacim doğrulanamadı</x:v>
      </x:c>
    </x:row>
    <x:row r="70" ht="30" customHeight="1">
      <x:c r="A70" s="100" t="n">
        <x:v>67</x:v>
      </x:c>
      <x:c r="B70" s="32" t="str">
        <x:v>ERKENEK (TEKTUĞ) HES</x:v>
      </x:c>
      <x:c r="C70" s="32" t="str">
        <x:v>Fırat Dicle</x:v>
      </x:c>
      <x:c r="D70" s="32" t="str">
        <x:v>Fırat-Dicle</x:v>
      </x:c>
      <x:c r="E70" s="34" t="n">
        <x:v>21</x:v>
      </x:c>
      <x:c r="F70" s="32" t="str">
        <x:v>https://cbs1.tarimorman.gov.tr/server/rest/services/TATUS/FeatureServer/11/query?where=ID%3D21&amp;outFields=ID%2CHAVZA_ADI%2CALAN_KM2&amp;returnGeometry=true&amp;outSR=4326&amp;f=geojson</x:v>
      </x:c>
      <x:c r="G70" s="32" t="str">
        <x:v>ERKENEK (TEKTUĞ)</x:v>
      </x:c>
      <x:c r="H70" s="32" t="str">
        <x:v>MALATYA</x:v>
      </x:c>
      <x:c r="I70" s="36"/>
      <x:c r="J70" s="36"/>
      <x:c r="K70" s="38" t="n">
        <x:v>932.45</x:v>
      </x:c>
      <x:c r="L70" s="38" t="n">
        <x:v>929</x:v>
      </x:c>
      <x:c r="M70" s="32" t="str">
        <x:v>BİRECİK-NİZİP HES</x:v>
      </x:c>
      <x:c r="N70" s="38" t="n">
        <x:v>0.32</x:v>
      </x:c>
      <x:c r="O70" s="38"/>
      <x:c r="P70" s="38"/>
      <x:c r="Q70" s="38"/>
      <x:c r="R70" s="38"/>
      <x:c r="S70" s="38"/>
      <x:c r="T70" s="40"/>
      <x:c r="U70" s="32" t="str">
        <x:v>eşleşme yok</x:v>
      </x:c>
      <x:c r="V70" s="32" t="str">
        <x:v>C</x:v>
      </x:c>
      <x:c r="W70" s="32" t="str">
        <x:v>https://www.erciyesenerji.com.tr/santral-bilgileri/</x:v>
      </x:c>
      <x:c r="X70" s="32" t="str">
        <x:v>https://www.erciyesenerji.com.tr/santral-bilgileri/</x:v>
      </x:c>
      <x:c r="Y70" s="32"/>
      <x:c r="Z70" s="32" t="str">
        <x:v>BİRECİK-NİZİP HES</x:v>
      </x:c>
      <x:c r="AA70" s="101" t="str">
        <x:v>EPİAŞ su göstergesi eşleşmesi bulunamadı; Koordinat güvenilir açık kaynaktan doğrulanamadı; Ünite debisi doğrulanamadı; Maksimum/minimum hacim doğrulanamadı</x:v>
      </x:c>
    </x:row>
    <x:row r="71" ht="30" customHeight="1">
      <x:c r="A71" s="100" t="n">
        <x:v>68</x:v>
      </x:c>
      <x:c r="B71" s="32" t="str">
        <x:v>ERMENEK HES EÜAŞ</x:v>
      </x:c>
      <x:c r="C71" s="32" t="str">
        <x:v>Doğu Akdeniz</x:v>
      </x:c>
      <x:c r="D71" s="32" t="str">
        <x:v>Doğu Akdeniz</x:v>
      </x:c>
      <x:c r="E71" s="34" t="n">
        <x:v>17</x:v>
      </x:c>
      <x:c r="F71" s="32" t="str">
        <x:v>https://cbs1.tarimorman.gov.tr/server/rest/services/TATUS/FeatureServer/11/query?where=ID%3D17&amp;outFields=ID%2CHAVZA_ADI%2CALAN_KM2&amp;returnGeometry=true&amp;outSR=4326&amp;f=geojson</x:v>
      </x:c>
      <x:c r="G71" s="32" t="str">
        <x:v>ERMENEK</x:v>
      </x:c>
      <x:c r="H71" s="32" t="str">
        <x:v>KARAMAN</x:v>
      </x:c>
      <x:c r="I71" s="36" t="n">
        <x:v>36.568056</x:v>
      </x:c>
      <x:c r="J71" s="36" t="n">
        <x:v>32.967778</x:v>
      </x:c>
      <x:c r="K71" s="38" t="n">
        <x:v>694</x:v>
      </x:c>
      <x:c r="L71" s="38" t="n">
        <x:v>660</x:v>
      </x:c>
      <x:c r="M71" s="32"/>
      <x:c r="N71" s="38" t="n">
        <x:v>302.4</x:v>
      </x:c>
      <x:c r="O71" s="38" t="n">
        <x:v>106.2</x:v>
      </x:c>
      <x:c r="P71" s="38" t="n">
        <x:v>4582.6</x:v>
      </x:c>
      <x:c r="Q71" s="38" t="n">
        <x:v>2835.2</x:v>
      </x:c>
      <x:c r="R71" s="38" t="n">
        <x:v>1317.12</x:v>
      </x:c>
      <x:c r="S71" s="38" t="n">
        <x:v>1038.74</x:v>
      </x:c>
      <x:c r="T71" s="40" t="n">
        <x:v>46278.81434027778</x:v>
      </x:c>
      <x:c r="U71" s="32" t="str">
        <x:v>exact</x:v>
      </x:c>
      <x:c r="V71" s="32" t="str">
        <x:v>A</x:v>
      </x:c>
      <x:c r="W71" s="32" t="str">
        <x:v>Yüklü Debi_ve_Kurulu_Guc-13092026.xlsx</x:v>
      </x:c>
      <x:c r="X71" s="32" t="str">
        <x:v>Yüklü Debi_ve_Kurulu_Guc-13092026.xlsx</x:v>
      </x:c>
      <x:c r="Y71" s="32" t="str">
        <x:v>https://turkiyebarajlar.com/baraj/ermenek</x:v>
      </x:c>
      <x:c r="Z71" s="32" t="str">
        <x:v>10</x:v>
      </x:c>
      <x:c r="AA71" s="101" t="str">
        <x:v>Kaskat alanında kaynak değeri '10' (belirsiz/sentinel)</x:v>
      </x:c>
    </x:row>
    <x:row r="72" ht="30" customHeight="1">
      <x:c r="A72" s="100" t="n">
        <x:v>69</x:v>
      </x:c>
      <x:c r="B72" s="32" t="str">
        <x:v>EŞEN1 HES</x:v>
      </x:c>
      <x:c r="C72" s="32" t="str">
        <x:v>Büyük Menderes</x:v>
      </x:c>
      <x:c r="D72" s="32" t="str">
        <x:v>Büyük Menderes</x:v>
      </x:c>
      <x:c r="E72" s="34" t="n">
        <x:v>7</x:v>
      </x:c>
      <x:c r="F72" s="32" t="str">
        <x:v>https://cbs1.tarimorman.gov.tr/server/rest/services/TATUS/FeatureServer/11/query?where=ID%3D7&amp;outFields=ID%2CHAVZA_ADI%2CALAN_KM2&amp;returnGeometry=true&amp;outSR=4326&amp;f=geojson</x:v>
      </x:c>
      <x:c r="G72" s="32" t="str">
        <x:v>EŞEN 1</x:v>
      </x:c>
      <x:c r="H72" s="32" t="str">
        <x:v>MUĞLA</x:v>
      </x:c>
      <x:c r="I72" s="36" t="n">
        <x:v>36.83455</x:v>
      </x:c>
      <x:c r="J72" s="36" t="n">
        <x:v>29.50089</x:v>
      </x:c>
      <x:c r="K72" s="38" t="n">
        <x:v>1115</x:v>
      </x:c>
      <x:c r="L72" s="38" t="n">
        <x:v>1107.5</x:v>
      </x:c>
      <x:c r="M72" s="32"/>
      <x:c r="N72" s="38" t="n">
        <x:v>60</x:v>
      </x:c>
      <x:c r="O72" s="38" t="n">
        <x:v>10</x:v>
      </x:c>
      <x:c r="P72" s="38" t="n">
        <x:v>22.92</x:v>
      </x:c>
      <x:c r="Q72" s="38" t="n">
        <x:v>2.62</x:v>
      </x:c>
      <x:c r="R72" s="38" t="n">
        <x:v>4.64</x:v>
      </x:c>
      <x:c r="S72" s="38" t="n">
        <x:v>7.84</x:v>
      </x:c>
      <x:c r="T72" s="40" t="n">
        <x:v>46278.81434027778</x:v>
      </x:c>
      <x:c r="U72" s="32" t="str">
        <x:v>exact</x:v>
      </x:c>
      <x:c r="V72" s="32" t="str">
        <x:v>A</x:v>
      </x:c>
      <x:c r="W72" s="32" t="str">
        <x:v>Yüklü Debi_ve_Kurulu_Guc-13092026.xlsx</x:v>
      </x:c>
      <x:c r="X72" s="32" t="str">
        <x:v>Yüklü Debi_ve_Kurulu_Guc-13092026.xlsx</x:v>
      </x:c>
      <x:c r="Y72" s="32" t="str">
        <x:v>https://cbs1.tarimorman.gov.tr/server/rest/services/TATUS/FeatureServer/7</x:v>
      </x:c>
      <x:c r="Z72" s="32" t="str">
        <x:v>10</x:v>
      </x:c>
      <x:c r="AA72" s="101" t="str">
        <x:v>Kaskat alanında kaynak değeri '10' (belirsiz/sentinel)</x:v>
      </x:c>
    </x:row>
    <x:row r="73" ht="30" customHeight="1">
      <x:c r="A73" s="100" t="n">
        <x:v>70</x:v>
      </x:c>
      <x:c r="B73" s="32" t="str">
        <x:v>FEKE2 HES</x:v>
      </x:c>
      <x:c r="C73" s="32" t="str">
        <x:v>Seyhan</x:v>
      </x:c>
      <x:c r="D73" s="32" t="str">
        <x:v>Seyhan</x:v>
      </x:c>
      <x:c r="E73" s="34" t="n">
        <x:v>18</x:v>
      </x:c>
      <x:c r="F73" s="32" t="str">
        <x:v>https://cbs1.tarimorman.gov.tr/server/rest/services/TATUS/FeatureServer/11/query?where=ID%3D18&amp;outFields=ID%2CHAVZA_ADI%2CALAN_KM2&amp;returnGeometry=true&amp;outSR=4326&amp;f=geojson</x:v>
      </x:c>
      <x:c r="G73" s="32" t="str">
        <x:v>FEKE-2</x:v>
      </x:c>
      <x:c r="H73" s="32" t="str">
        <x:v>ADANA</x:v>
      </x:c>
      <x:c r="I73" s="36" t="n">
        <x:v>37.7449</x:v>
      </x:c>
      <x:c r="J73" s="36" t="n">
        <x:v>35.8652</x:v>
      </x:c>
      <x:c r="K73" s="38" t="n">
        <x:v>543</x:v>
      </x:c>
      <x:c r="L73" s="38" t="n">
        <x:v>529.5</x:v>
      </x:c>
      <x:c r="M73" s="32" t="str">
        <x:v>MENGE HES</x:v>
      </x:c>
      <x:c r="N73" s="38" t="n">
        <x:v>69.3</x:v>
      </x:c>
      <x:c r="O73" s="38" t="n">
        <x:v>127.5</x:v>
      </x:c>
      <x:c r="P73" s="38" t="n">
        <x:v>63.07</x:v>
      </x:c>
      <x:c r="Q73" s="38" t="n">
        <x:v>34.74</x:v>
      </x:c>
      <x:c r="R73" s="38" t="n">
        <x:v>23.69</x:v>
      </x:c>
      <x:c r="S73" s="38" t="n">
        <x:v>3.66</x:v>
      </x:c>
      <x:c r="T73" s="40" t="n">
        <x:v>46278.81434027778</x:v>
      </x:c>
      <x:c r="U73" s="32" t="str">
        <x:v>alias</x:v>
      </x:c>
      <x:c r="V73" s="32" t="str">
        <x:v>A</x:v>
      </x:c>
      <x:c r="W73" s="32" t="str">
        <x:v>Yüklü Debi_ve_Kurulu_Guc-13092026.xlsx</x:v>
      </x:c>
      <x:c r="X73" s="32" t="str">
        <x:v>Yüklü Debi_ve_Kurulu_Guc-13092026.xlsx</x:v>
      </x:c>
      <x:c r="Y73" s="32" t="str">
        <x:v>https://cbs1.tarimorman.gov.tr/server/rest/services/TATUS/FeatureServer/7</x:v>
      </x:c>
      <x:c r="Z73" s="32" t="str">
        <x:v>MENGE HES</x:v>
      </x:c>
      <x:c r="AA73" s="101" t="str">
        <x:v>Baraj adı eşleşmesi: FEKE-2</x:v>
      </x:c>
    </x:row>
    <x:row r="74" ht="30" customHeight="1">
      <x:c r="A74" s="100" t="n">
        <x:v>71</x:v>
      </x:c>
      <x:c r="B74" s="32" t="str">
        <x:v>GARZAN HES</x:v>
      </x:c>
      <x:c r="C74" s="32" t="str">
        <x:v>Fırat Dicle</x:v>
      </x:c>
      <x:c r="D74" s="32" t="str">
        <x:v>Fırat-Dicle</x:v>
      </x:c>
      <x:c r="E74" s="34" t="n">
        <x:v>21</x:v>
      </x:c>
      <x:c r="F74" s="32" t="str">
        <x:v>https://cbs1.tarimorman.gov.tr/server/rest/services/TATUS/FeatureServer/11/query?where=ID%3D21&amp;outFields=ID%2CHAVZA_ADI%2CALAN_KM2&amp;returnGeometry=true&amp;outSR=4326&amp;f=geojson</x:v>
      </x:c>
      <x:c r="G74" s="32" t="str">
        <x:v>GARZAN</x:v>
      </x:c>
      <x:c r="H74" s="32" t="str">
        <x:v>BATMAN</x:v>
      </x:c>
      <x:c r="I74" s="36"/>
      <x:c r="J74" s="36"/>
      <x:c r="K74" s="38" t="n">
        <x:v>788.3</x:v>
      </x:c>
      <x:c r="L74" s="38" t="n">
        <x:v>755</x:v>
      </x:c>
      <x:c r="M74" s="32" t="str">
        <x:v>ILISU HES</x:v>
      </x:c>
      <x:c r="N74" s="38" t="n">
        <x:v>52</x:v>
      </x:c>
      <x:c r="O74" s="38"/>
      <x:c r="P74" s="38"/>
      <x:c r="Q74" s="38"/>
      <x:c r="R74" s="38"/>
      <x:c r="S74" s="38"/>
      <x:c r="T74" s="40"/>
      <x:c r="U74" s="32" t="str">
        <x:v>eşleşme yok</x:v>
      </x:c>
      <x:c r="V74" s="32" t="str">
        <x:v>C</x:v>
      </x:c>
      <x:c r="W74" s="32" t="str">
        <x:v>https://www.enerjiatlasi.com/hidroelektrik/?v=1.0.24</x:v>
      </x:c>
      <x:c r="X74" s="32" t="str">
        <x:v>https://openinframap.org/stats/area/Turkey/plants?source=hydro</x:v>
      </x:c>
      <x:c r="Y74" s="32"/>
      <x:c r="Z74" s="32" t="str">
        <x:v>ILISU HES</x:v>
      </x:c>
      <x:c r="AA74" s="101" t="str">
        <x:v>EPİAŞ su göstergesi eşleşmesi bulunamadı; Koordinat güvenilir açık kaynaktan doğrulanamadı; Ünite debisi doğrulanamadı; Maksimum/minimum hacim doğrulanamadı</x:v>
      </x:c>
    </x:row>
    <x:row r="75" ht="30" customHeight="1">
      <x:c r="A75" s="100" t="n">
        <x:v>72</x:v>
      </x:c>
      <x:c r="B75" s="32" t="str">
        <x:v>GEZENDE HES</x:v>
      </x:c>
      <x:c r="C75" s="32" t="str">
        <x:v>Doğu Akdeniz</x:v>
      </x:c>
      <x:c r="D75" s="32" t="str">
        <x:v>Doğu Akdeniz</x:v>
      </x:c>
      <x:c r="E75" s="34" t="n">
        <x:v>17</x:v>
      </x:c>
      <x:c r="F75" s="32" t="str">
        <x:v>https://cbs1.tarimorman.gov.tr/server/rest/services/TATUS/FeatureServer/11/query?where=ID%3D17&amp;outFields=ID%2CHAVZA_ADI%2CALAN_KM2&amp;returnGeometry=true&amp;outSR=4326&amp;f=geojson</x:v>
      </x:c>
      <x:c r="G75" s="32" t="str">
        <x:v>GEZENDE</x:v>
      </x:c>
      <x:c r="H75" s="32" t="str">
        <x:v>İÇEL</x:v>
      </x:c>
      <x:c r="I75" s="36" t="n">
        <x:v>36.528611</x:v>
      </x:c>
      <x:c r="J75" s="36" t="n">
        <x:v>33.194444</x:v>
      </x:c>
      <x:c r="K75" s="38" t="n">
        <x:v>333</x:v>
      </x:c>
      <x:c r="L75" s="38" t="n">
        <x:v>310</x:v>
      </x:c>
      <x:c r="M75" s="32"/>
      <x:c r="N75" s="38" t="n">
        <x:v>159.4</x:v>
      </x:c>
      <x:c r="O75" s="38" t="n">
        <x:v>105</x:v>
      </x:c>
      <x:c r="P75" s="38" t="n">
        <x:v>91.9</x:v>
      </x:c>
      <x:c r="Q75" s="38" t="n">
        <x:v>26.43</x:v>
      </x:c>
      <x:c r="R75" s="38" t="n">
        <x:v>34.94</x:v>
      </x:c>
      <x:c r="S75" s="38" t="n">
        <x:v>15.86</x:v>
      </x:c>
      <x:c r="T75" s="40" t="n">
        <x:v>46278.81434027778</x:v>
      </x:c>
      <x:c r="U75" s="32" t="str">
        <x:v>exact</x:v>
      </x:c>
      <x:c r="V75" s="32" t="str">
        <x:v>A</x:v>
      </x:c>
      <x:c r="W75" s="32" t="str">
        <x:v>Yüklü Debi_ve_Kurulu_Guc-13092026.xlsx</x:v>
      </x:c>
      <x:c r="X75" s="32" t="str">
        <x:v>Yüklü Debi_ve_Kurulu_Guc-13092026.xlsx</x:v>
      </x:c>
      <x:c r="Y75" s="32" t="str">
        <x:v>https://turkiyebarajlar.com/baraj/gezende</x:v>
      </x:c>
      <x:c r="Z75" s="32" t="str">
        <x:v>10</x:v>
      </x:c>
      <x:c r="AA75" s="101" t="str">
        <x:v>Kaskat alanında kaynak değeri '10' (belirsiz/sentinel)</x:v>
      </x:c>
    </x:row>
    <x:row r="76" ht="30" customHeight="1">
      <x:c r="A76" s="100" t="n">
        <x:v>73</x:v>
      </x:c>
      <x:c r="B76" s="32" t="str">
        <x:v>GÖKÇEKAYA HES</x:v>
      </x:c>
      <x:c r="C76" s="32" t="str">
        <x:v>Sakarya</x:v>
      </x:c>
      <x:c r="D76" s="32" t="str">
        <x:v>Sakarya</x:v>
      </x:c>
      <x:c r="E76" s="34" t="n">
        <x:v>12</x:v>
      </x:c>
      <x:c r="F76" s="32" t="str">
        <x:v>https://cbs1.tarimorman.gov.tr/server/rest/services/TATUS/FeatureServer/11/query?where=ID%3D12&amp;outFields=ID%2CHAVZA_ADI%2CALAN_KM2&amp;returnGeometry=true&amp;outSR=4326&amp;f=geojson</x:v>
      </x:c>
      <x:c r="G76" s="32" t="str">
        <x:v>GÖKÇEKAYA</x:v>
      </x:c>
      <x:c r="H76" s="32" t="str">
        <x:v>ESKİŞEHİR</x:v>
      </x:c>
      <x:c r="I76" s="36" t="n">
        <x:v>40.033056</x:v>
      </x:c>
      <x:c r="J76" s="36" t="n">
        <x:v>31.016111</x:v>
      </x:c>
      <x:c r="K76" s="38" t="n">
        <x:v>389</x:v>
      </x:c>
      <x:c r="L76" s="38" t="n">
        <x:v>377.5</x:v>
      </x:c>
      <x:c r="M76" s="32" t="str">
        <x:v>YENİCE HES</x:v>
      </x:c>
      <x:c r="N76" s="38" t="n">
        <x:v>278.4</x:v>
      </x:c>
      <x:c r="O76" s="38" t="n">
        <x:v>297.8</x:v>
      </x:c>
      <x:c r="P76" s="38" t="n">
        <x:v>953.1</x:v>
      </x:c>
      <x:c r="Q76" s="38" t="n">
        <x:v>731.71</x:v>
      </x:c>
      <x:c r="R76" s="38" t="n">
        <x:v>122.16</x:v>
      </x:c>
      <x:c r="S76" s="38" t="n">
        <x:v>33.57</x:v>
      </x:c>
      <x:c r="T76" s="40" t="n">
        <x:v>46278.81434027778</x:v>
      </x:c>
      <x:c r="U76" s="32" t="str">
        <x:v>exact</x:v>
      </x:c>
      <x:c r="V76" s="32" t="str">
        <x:v>A</x:v>
      </x:c>
      <x:c r="W76" s="32" t="str">
        <x:v>Yüklü Debi_ve_Kurulu_Guc-13092026.xlsx</x:v>
      </x:c>
      <x:c r="X76" s="32" t="str">
        <x:v>Yüklü Debi_ve_Kurulu_Guc-13092026.xlsx</x:v>
      </x:c>
      <x:c r="Y76" s="32" t="str">
        <x:v>https://turkiyebarajlar.com/baraj/gokcekaya</x:v>
      </x:c>
      <x:c r="Z76" s="32" t="str">
        <x:v>YENİCE HES</x:v>
      </x:c>
      <x:c r="AA76" s="101" t="str"/>
    </x:row>
    <x:row r="77" ht="30" customHeight="1">
      <x:c r="A77" s="100" t="n">
        <x:v>74</x:v>
      </x:c>
      <x:c r="B77" s="32" t="str">
        <x:v>GÖKÇELER HES</x:v>
      </x:c>
      <x:c r="C77" s="32" t="str">
        <x:v>Batı Akdeniz</x:v>
      </x:c>
      <x:c r="D77" s="32" t="str">
        <x:v>Batı Akdeniz</x:v>
      </x:c>
      <x:c r="E77" s="34" t="n">
        <x:v>8</x:v>
      </x:c>
      <x:c r="F77" s="32" t="str">
        <x:v>https://cbs1.tarimorman.gov.tr/server/rest/services/TATUS/FeatureServer/11/query?where=ID%3D8&amp;outFields=ID%2CHAVZA_ADI%2CALAN_KM2&amp;returnGeometry=true&amp;outSR=4326&amp;f=geojson</x:v>
      </x:c>
      <x:c r="G77" s="32" t="str">
        <x:v>GÖKÇELER</x:v>
      </x:c>
      <x:c r="H77" s="32" t="str">
        <x:v>ANTALYA</x:v>
      </x:c>
      <x:c r="I77" s="36"/>
      <x:c r="J77" s="36"/>
      <x:c r="K77" s="38" t="n">
        <x:v>0</x:v>
      </x:c>
      <x:c r="L77" s="38" t="n">
        <x:v>0</x:v>
      </x:c>
      <x:c r="M77" s="32"/>
      <x:c r="N77" s="38" t="n">
        <x:v>2.5</x:v>
      </x:c>
      <x:c r="O77" s="38" t="n">
        <x:v>3.3</x:v>
      </x:c>
      <x:c r="P77" s="38" t="n">
        <x:v>64.15</x:v>
      </x:c>
      <x:c r="Q77" s="38" t="n">
        <x:v>6.54</x:v>
      </x:c>
      <x:c r="R77" s="38" t="n">
        <x:v>22.94</x:v>
      </x:c>
      <x:c r="S77" s="38" t="n">
        <x:v>4.63</x:v>
      </x:c>
      <x:c r="T77" s="40" t="n">
        <x:v>46278.81434027778</x:v>
      </x:c>
      <x:c r="U77" s="32" t="str">
        <x:v>exact</x:v>
      </x:c>
      <x:c r="V77" s="32" t="str">
        <x:v>B</x:v>
      </x:c>
      <x:c r="W77" s="32" t="str">
        <x:v>Yüklü Debi_ve_Kurulu_Guc-13092026.xlsx</x:v>
      </x:c>
      <x:c r="X77" s="32" t="str">
        <x:v>Yüklü Debi_ve_Kurulu_Guc-13092026.xlsx</x:v>
      </x:c>
      <x:c r="Y77" s="32"/>
      <x:c r="Z77" s="32" t="str">
        <x:v>10</x:v>
      </x:c>
      <x:c r="AA77" s="101" t="str">
        <x:v>Kaskat alanında kaynak değeri '10' (belirsiz/sentinel); Koordinat güvenilir açık kaynaktan doğrulanamadı</x:v>
      </x:c>
    </x:row>
    <x:row r="78" ht="30" customHeight="1">
      <x:c r="A78" s="100" t="n">
        <x:v>75</x:v>
      </x:c>
      <x:c r="B78" s="32" t="str">
        <x:v>GÖKKAYA HES</x:v>
      </x:c>
      <x:c r="C78" s="32" t="str">
        <x:v>Seyhan</x:v>
      </x:c>
      <x:c r="D78" s="32" t="str">
        <x:v>Seyhan</x:v>
      </x:c>
      <x:c r="E78" s="34" t="n">
        <x:v>18</x:v>
      </x:c>
      <x:c r="F78" s="32" t="str">
        <x:v>https://cbs1.tarimorman.gov.tr/server/rest/services/TATUS/FeatureServer/11/query?where=ID%3D18&amp;outFields=ID%2CHAVZA_ADI%2CALAN_KM2&amp;returnGeometry=true&amp;outSR=4326&amp;f=geojson</x:v>
      </x:c>
      <x:c r="G78" s="32" t="str">
        <x:v>GÖKKAYA</x:v>
      </x:c>
      <x:c r="H78" s="32" t="str">
        <x:v>ADANA</x:v>
      </x:c>
      <x:c r="I78" s="36"/>
      <x:c r="J78" s="36"/>
      <x:c r="K78" s="38" t="n">
        <x:v>760</x:v>
      </x:c>
      <x:c r="L78" s="38" t="n">
        <x:v>755</x:v>
      </x:c>
      <x:c r="M78" s="32"/>
      <x:c r="N78" s="38" t="n">
        <x:v>28.54</x:v>
      </x:c>
      <x:c r="O78" s="38"/>
      <x:c r="P78" s="38"/>
      <x:c r="Q78" s="38"/>
      <x:c r="R78" s="38"/>
      <x:c r="S78" s="38"/>
      <x:c r="T78" s="40"/>
      <x:c r="U78" s="32" t="str">
        <x:v>eşleşme yok</x:v>
      </x:c>
      <x:c r="V78" s="32" t="str">
        <x:v>C</x:v>
      </x:c>
      <x:c r="W78" s="32" t="str">
        <x:v>https://www.akenerji.com.tr/santrallerimiz</x:v>
      </x:c>
      <x:c r="X78" s="32" t="str">
        <x:v>https://www.akenerji.com.tr/santrallerimiz</x:v>
      </x:c>
      <x:c r="Y78" s="32"/>
      <x:c r="Z78" s="32" t="str">
        <x:v>10</x:v>
      </x:c>
      <x:c r="AA78" s="101" t="str">
        <x:v>EPİAŞ su göstergesi eşleşmesi bulunamadı; Kaskat alanında kaynak değeri '10' (belirsiz/sentinel); Koordinat güvenilir açık kaynaktan doğrulanamadı; Kurulu güç bulunamadı; Eksik kurulu güç/il bilgisi kamuya açık web kaynağıyla tamamlandı; Ünite debisi doğrulanamadı; Maksimum/minimum hacim doğrulanamadı</x:v>
      </x:c>
    </x:row>
    <x:row r="79" ht="30" customHeight="1">
      <x:c r="A79" s="100" t="n">
        <x:v>76</x:v>
      </x:c>
      <x:c r="B79" s="32" t="str">
        <x:v>GÖKTAŞ1 HES</x:v>
      </x:c>
      <x:c r="C79" s="32" t="str">
        <x:v>Seyhan</x:v>
      </x:c>
      <x:c r="D79" s="32" t="str">
        <x:v>Seyhan</x:v>
      </x:c>
      <x:c r="E79" s="34" t="n">
        <x:v>18</x:v>
      </x:c>
      <x:c r="F79" s="32" t="str">
        <x:v>https://cbs1.tarimorman.gov.tr/server/rest/services/TATUS/FeatureServer/11/query?where=ID%3D18&amp;outFields=ID%2CHAVZA_ADI%2CALAN_KM2&amp;returnGeometry=true&amp;outSR=4326&amp;f=geojson</x:v>
      </x:c>
      <x:c r="G79" s="32" t="str">
        <x:v>GÖKTAŞ-1</x:v>
      </x:c>
      <x:c r="H79" s="32" t="str">
        <x:v>ADANA</x:v>
      </x:c>
      <x:c r="I79" s="36" t="n">
        <x:v>37.71028</x:v>
      </x:c>
      <x:c r="J79" s="36" t="n">
        <x:v>35.48</x:v>
      </x:c>
      <x:c r="K79" s="38" t="n">
        <x:v>630</x:v>
      </x:c>
      <x:c r="L79" s="38" t="n">
        <x:v>620</x:v>
      </x:c>
      <x:c r="M79" s="32"/>
      <x:c r="N79" s="38" t="n">
        <x:v>122.2</x:v>
      </x:c>
      <x:c r="O79" s="38" t="n">
        <x:v>108</x:v>
      </x:c>
      <x:c r="P79" s="38" t="n">
        <x:v>109.33</x:v>
      </x:c>
      <x:c r="Q79" s="38" t="n">
        <x:v>84.63</x:v>
      </x:c>
      <x:c r="R79" s="38" t="n">
        <x:v>7.39</x:v>
      </x:c>
      <x:c r="S79" s="38" t="n">
        <x:v>2.35</x:v>
      </x:c>
      <x:c r="T79" s="40" t="n">
        <x:v>46278.81434027778</x:v>
      </x:c>
      <x:c r="U79" s="32" t="str">
        <x:v>alias</x:v>
      </x:c>
      <x:c r="V79" s="32" t="str">
        <x:v>A</x:v>
      </x:c>
      <x:c r="W79" s="32" t="str">
        <x:v>Yüklü Debi_ve_Kurulu_Guc-13092026.xlsx</x:v>
      </x:c>
      <x:c r="X79" s="32" t="str">
        <x:v>Yüklü Debi_ve_Kurulu_Guc-13092026.xlsx</x:v>
      </x:c>
      <x:c r="Y79" s="32" t="str">
        <x:v>https://cbs1.tarimorman.gov.tr/server/rest/services/TATUS/FeatureServer/7</x:v>
      </x:c>
      <x:c r="Z79" s="32" t="str">
        <x:v>10</x:v>
      </x:c>
      <x:c r="AA79" s="101" t="str">
        <x:v>Baraj adı eşleşmesi: GÖKTAŞ-1; Kaskat alanında kaynak değeri '10' (belirsiz/sentinel)</x:v>
      </x:c>
    </x:row>
    <x:row r="80" ht="30" customHeight="1">
      <x:c r="A80" s="100" t="n">
        <x:v>77</x:v>
      </x:c>
      <x:c r="B80" s="32" t="str">
        <x:v>GÜLLÜBAĞ HES</x:v>
      </x:c>
      <x:c r="C80" s="32" t="str">
        <x:v>Çoruh</x:v>
      </x:c>
      <x:c r="D80" s="32" t="str">
        <x:v>Çoruh</x:v>
      </x:c>
      <x:c r="E80" s="34" t="n">
        <x:v>23</x:v>
      </x:c>
      <x:c r="F80" s="32" t="str">
        <x:v>https://cbs1.tarimorman.gov.tr/server/rest/services/TATUS/FeatureServer/11/query?where=ID%3D23&amp;outFields=ID%2CHAVZA_ADI%2CALAN_KM2&amp;returnGeometry=true&amp;outSR=4326&amp;f=geojson</x:v>
      </x:c>
      <x:c r="G80" s="32" t="str">
        <x:v>GÜLLÜBAĞ</x:v>
      </x:c>
      <x:c r="H80" s="32" t="str">
        <x:v>ERZURUM</x:v>
      </x:c>
      <x:c r="I80" s="36"/>
      <x:c r="J80" s="36"/>
      <x:c r="K80" s="38" t="n">
        <x:v>1147</x:v>
      </x:c>
      <x:c r="L80" s="38" t="n">
        <x:v>1133</x:v>
      </x:c>
      <x:c r="M80" s="32" t="str">
        <x:v>ARKUN HES</x:v>
      </x:c>
      <x:c r="N80" s="38" t="n">
        <x:v>96</x:v>
      </x:c>
      <x:c r="O80" s="38"/>
      <x:c r="P80" s="38"/>
      <x:c r="Q80" s="38"/>
      <x:c r="R80" s="38"/>
      <x:c r="S80" s="38"/>
      <x:c r="T80" s="40"/>
      <x:c r="U80" s="32" t="str">
        <x:v>eşleşme yok</x:v>
      </x:c>
      <x:c r="V80" s="32" t="str">
        <x:v>C</x:v>
      </x:c>
      <x:c r="W80" s="32" t="str">
        <x:v>https://www.enerjiatlasi.com/hidroelektrik/?v=1.0.24</x:v>
      </x:c>
      <x:c r="X80" s="32" t="str">
        <x:v>https://openinframap.org/stats/area/Turkey/plants?source=hydro</x:v>
      </x:c>
      <x:c r="Y80" s="32"/>
      <x:c r="Z80" s="32" t="str">
        <x:v>ARKUN HES</x:v>
      </x:c>
      <x:c r="AA80" s="101" t="str">
        <x:v>EPİAŞ su göstergesi eşleşmesi bulunamadı; Koordinat güvenilir açık kaynaktan doğrulanamadı; Ünite debisi doğrulanamadı; Maksimum/minimum hacim doğrulanamadı</x:v>
      </x:c>
    </x:row>
    <x:row r="81" ht="30" customHeight="1">
      <x:c r="A81" s="100" t="n">
        <x:v>78</x:v>
      </x:c>
      <x:c r="B81" s="32" t="str">
        <x:v>GÜMÜŞÖREN HES</x:v>
      </x:c>
      <x:c r="C81" s="32" t="str">
        <x:v>Seyhan</x:v>
      </x:c>
      <x:c r="D81" s="32" t="str">
        <x:v>Seyhan</x:v>
      </x:c>
      <x:c r="E81" s="34" t="n">
        <x:v>18</x:v>
      </x:c>
      <x:c r="F81" s="32" t="str">
        <x:v>https://cbs1.tarimorman.gov.tr/server/rest/services/TATUS/FeatureServer/11/query?where=ID%3D18&amp;outFields=ID%2CHAVZA_ADI%2CALAN_KM2&amp;returnGeometry=true&amp;outSR=4326&amp;f=geojson</x:v>
      </x:c>
      <x:c r="G81" s="32" t="str">
        <x:v>GÜMÜŞÖREN</x:v>
      </x:c>
      <x:c r="H81" s="32" t="str">
        <x:v>KAYSERİ</x:v>
      </x:c>
      <x:c r="I81" s="36"/>
      <x:c r="J81" s="36"/>
      <x:c r="K81" s="38" t="n">
        <x:v>1297.5</x:v>
      </x:c>
      <x:c r="L81" s="38" t="n">
        <x:v>1285</x:v>
      </x:c>
      <x:c r="M81" s="32"/>
      <x:c r="N81" s="38" t="n">
        <x:v>5</x:v>
      </x:c>
      <x:c r="O81" s="38" t="n">
        <x:v>26</x:v>
      </x:c>
      <x:c r="P81" s="38" t="n">
        <x:v>186.53</x:v>
      </x:c>
      <x:c r="Q81" s="38" t="n">
        <x:v>34.03</x:v>
      </x:c>
      <x:c r="R81" s="38" t="n">
        <x:v>116.89</x:v>
      </x:c>
      <x:c r="S81" s="38" t="n">
        <x:v>7.45</x:v>
      </x:c>
      <x:c r="T81" s="40" t="n">
        <x:v>46278.81434027778</x:v>
      </x:c>
      <x:c r="U81" s="32" t="str">
        <x:v>exact</x:v>
      </x:c>
      <x:c r="V81" s="32" t="str">
        <x:v>B</x:v>
      </x:c>
      <x:c r="W81" s="32" t="str">
        <x:v>Yüklü Debi_ve_Kurulu_Guc-13092026.xlsx</x:v>
      </x:c>
      <x:c r="X81" s="32" t="str">
        <x:v>Yüklü Debi_ve_Kurulu_Guc-13092026.xlsx</x:v>
      </x:c>
      <x:c r="Y81" s="32"/>
      <x:c r="Z81" s="32" t="str">
        <x:v>10</x:v>
      </x:c>
      <x:c r="AA81" s="101" t="str">
        <x:v>Kaskat alanında kaynak değeri '10' (belirsiz/sentinel); Koordinat güvenilir açık kaynaktan doğrulanamadı</x:v>
      </x:c>
    </x:row>
    <x:row r="82" ht="30" customHeight="1">
      <x:c r="A82" s="100" t="n">
        <x:v>79</x:v>
      </x:c>
      <x:c r="B82" s="32" t="str">
        <x:v>GÜNDER HES</x:v>
      </x:c>
      <x:c r="C82" s="32" t="str">
        <x:v>Orta Akdeniz</x:v>
      </x:c>
      <x:c r="D82" s="32" t="str">
        <x:v>Antalya</x:v>
      </x:c>
      <x:c r="E82" s="34" t="n">
        <x:v>9</x:v>
      </x:c>
      <x:c r="F82" s="32" t="str">
        <x:v>https://cbs1.tarimorman.gov.tr/server/rest/services/TATUS/FeatureServer/11/query?where=ID%3D9&amp;outFields=ID%2CHAVZA_ADI%2CALAN_KM2&amp;returnGeometry=true&amp;outSR=4326&amp;f=geojson</x:v>
      </x:c>
      <x:c r="G82" s="32" t="str">
        <x:v>GÜNDER</x:v>
      </x:c>
      <x:c r="H82" s="32" t="str">
        <x:v>KARAMAN</x:v>
      </x:c>
      <x:c r="I82" s="36"/>
      <x:c r="J82" s="36"/>
      <x:c r="K82" s="38" t="n">
        <x:v>1038.5</x:v>
      </x:c>
      <x:c r="L82" s="38" t="n">
        <x:v>1036</x:v>
      </x:c>
      <x:c r="M82" s="32"/>
      <x:c r="N82" s="38" t="n">
        <x:v>28.22</x:v>
      </x:c>
      <x:c r="O82" s="38"/>
      <x:c r="P82" s="38"/>
      <x:c r="Q82" s="38"/>
      <x:c r="R82" s="38"/>
      <x:c r="S82" s="38"/>
      <x:c r="T82" s="40"/>
      <x:c r="U82" s="32" t="str">
        <x:v>eşleşme yok</x:v>
      </x:c>
      <x:c r="V82" s="32" t="str">
        <x:v>C</x:v>
      </x:c>
      <x:c r="W82" s="32" t="str">
        <x:v>https://www.epdk.gov.tr/Detay/Icerik/4-12934/arikenerjiuretimsirketisantralsahasihk</x:v>
      </x:c>
      <x:c r="X82" s="32" t="str">
        <x:v>https://www.epdk.gov.tr/Detay/Icerik/4-12934/arikenerjiuretimsirketisantralsahasihk</x:v>
      </x:c>
      <x:c r="Y82" s="32"/>
      <x:c r="Z82" s="32" t="str">
        <x:v>10</x:v>
      </x:c>
      <x:c r="AA82" s="101" t="str">
        <x:v>EPİAŞ su göstergesi eşleşmesi bulunamadı; Kaskat alanında kaynak değeri '10' (belirsiz/sentinel); Koordinat güvenilir açık kaynaktan doğrulanamadı; Ünite debisi doğrulanamadı; Maksimum/minimum hacim doğrulanamadı</x:v>
      </x:c>
    </x:row>
    <x:row r="83" ht="30" customHeight="1">
      <x:c r="A83" s="100" t="n">
        <x:v>80</x:v>
      </x:c>
      <x:c r="B83" s="32" t="str">
        <x:v>GÜRSÖĞÜT HES</x:v>
      </x:c>
      <x:c r="C83" s="32" t="str">
        <x:v>Sakarya</x:v>
      </x:c>
      <x:c r="D83" s="32" t="str">
        <x:v>Sakarya</x:v>
      </x:c>
      <x:c r="E83" s="34" t="n">
        <x:v>12</x:v>
      </x:c>
      <x:c r="F83" s="32" t="str">
        <x:v>https://cbs1.tarimorman.gov.tr/server/rest/services/TATUS/FeatureServer/11/query?where=ID%3D12&amp;outFields=ID%2CHAVZA_ADI%2CALAN_KM2&amp;returnGeometry=true&amp;outSR=4326&amp;f=geojson</x:v>
      </x:c>
      <x:c r="G83" s="32" t="str">
        <x:v>GÜRSÖĞÜT-1 BARAJI</x:v>
      </x:c>
      <x:c r="H83" s="32" t="str">
        <x:v>ANKARA</x:v>
      </x:c>
      <x:c r="I83" s="36"/>
      <x:c r="J83" s="36"/>
      <x:c r="K83" s="38" t="n">
        <x:v>649</x:v>
      </x:c>
      <x:c r="L83" s="38" t="n">
        <x:v>642</x:v>
      </x:c>
      <x:c r="M83" s="32" t="str">
        <x:v>KARGI HES</x:v>
      </x:c>
      <x:c r="N83" s="38" t="n">
        <x:v>39.6</x:v>
      </x:c>
      <x:c r="O83" s="38" t="n">
        <x:v>75.4</x:v>
      </x:c>
      <x:c r="P83" s="38" t="n">
        <x:v>76.86</x:v>
      </x:c>
      <x:c r="Q83" s="38" t="n">
        <x:v>48.58</x:v>
      </x:c>
      <x:c r="R83" s="38" t="n">
        <x:v>16.44</x:v>
      </x:c>
      <x:c r="S83" s="38" t="n">
        <x:v>2.38</x:v>
      </x:c>
      <x:c r="T83" s="40" t="n">
        <x:v>46278.81434027778</x:v>
      </x:c>
      <x:c r="U83" s="32" t="str">
        <x:v>fuzzy</x:v>
      </x:c>
      <x:c r="V83" s="32" t="str">
        <x:v>B</x:v>
      </x:c>
      <x:c r="W83" s="32" t="str">
        <x:v>Yüklü Debi_ve_Kurulu_Guc-13092026.xlsx</x:v>
      </x:c>
      <x:c r="X83" s="32" t="str">
        <x:v>Yüklü Debi_ve_Kurulu_Guc-13092026.xlsx</x:v>
      </x:c>
      <x:c r="Y83" s="32"/>
      <x:c r="Z83" s="32" t="str">
        <x:v>KARGI HES</x:v>
      </x:c>
      <x:c r="AA83" s="101" t="str">
        <x:v>Baraj adı eşleşmesi: GÜRSÖĞÜT-1 BARAJI; Koordinat güvenilir açık kaynaktan doğrulanamadı</x:v>
      </x:c>
    </x:row>
    <x:row r="84" ht="30" customHeight="1">
      <x:c r="A84" s="100" t="n">
        <x:v>81</x:v>
      </x:c>
      <x:c r="B84" s="32" t="str">
        <x:v>HACININOĞLU HES</x:v>
      </x:c>
      <x:c r="C84" s="32" t="str">
        <x:v>Ceyhan</x:v>
      </x:c>
      <x:c r="D84" s="32" t="str">
        <x:v>Ceyhan</x:v>
      </x:c>
      <x:c r="E84" s="34" t="n">
        <x:v>20</x:v>
      </x:c>
      <x:c r="F84" s="32" t="str">
        <x:v>https://cbs1.tarimorman.gov.tr/server/rest/services/TATUS/FeatureServer/11/query?where=ID%3D20&amp;outFields=ID%2CHAVZA_ADI%2CALAN_KM2&amp;returnGeometry=true&amp;outSR=4326&amp;f=geojson</x:v>
      </x:c>
      <x:c r="G84" s="32" t="str">
        <x:v>HACININOĞLU</x:v>
      </x:c>
      <x:c r="H84" s="32" t="str">
        <x:v>KAHRAMANMARAŞ</x:v>
      </x:c>
      <x:c r="I84" s="36"/>
      <x:c r="J84" s="36"/>
      <x:c r="K84" s="38" t="n">
        <x:v>748</x:v>
      </x:c>
      <x:c r="L84" s="38" t="n">
        <x:v>744</x:v>
      </x:c>
      <x:c r="M84" s="32"/>
      <x:c r="N84" s="38" t="n">
        <x:v>142</x:v>
      </x:c>
      <x:c r="O84" s="38"/>
      <x:c r="P84" s="38"/>
      <x:c r="Q84" s="38"/>
      <x:c r="R84" s="38"/>
      <x:c r="S84" s="38"/>
      <x:c r="T84" s="40"/>
      <x:c r="U84" s="32" t="str">
        <x:v>eşleşme yok</x:v>
      </x:c>
      <x:c r="V84" s="32" t="str">
        <x:v>C</x:v>
      </x:c>
      <x:c r="W84" s="32" t="str">
        <x:v>https://www.enerjiatlasi.com/hidroelektrik/?v=1.0.24</x:v>
      </x:c>
      <x:c r="X84" s="32" t="str">
        <x:v>https://openinframap.org/stats/area/Turkey/plants?source=hydro</x:v>
      </x:c>
      <x:c r="Y84" s="32"/>
      <x:c r="Z84" s="32" t="str">
        <x:v>10</x:v>
      </x:c>
      <x:c r="AA84" s="101" t="str">
        <x:v>EPİAŞ su göstergesi eşleşmesi bulunamadı; Kaskat alanında kaynak değeri '10' (belirsiz/sentinel); Koordinat güvenilir açık kaynaktan doğrulanamadı; Ünite debisi doğrulanamadı; Maksimum/minimum hacim doğrulanamadı</x:v>
      </x:c>
    </x:row>
    <x:row r="85" ht="30" customHeight="1">
      <x:c r="A85" s="100" t="n">
        <x:v>82</x:v>
      </x:c>
      <x:c r="B85" s="32" t="str">
        <x:v>HASANLAR HES</x:v>
      </x:c>
      <x:c r="C85" s="32" t="str">
        <x:v>Batı Karadeniz</x:v>
      </x:c>
      <x:c r="D85" s="32" t="str">
        <x:v>Batı Karadeniz</x:v>
      </x:c>
      <x:c r="E85" s="34" t="n">
        <x:v>13</x:v>
      </x:c>
      <x:c r="F85" s="32" t="str">
        <x:v>https://cbs1.tarimorman.gov.tr/server/rest/services/TATUS/FeatureServer/11/query?where=ID%3D13&amp;outFields=ID%2CHAVZA_ADI%2CALAN_KM2&amp;returnGeometry=true&amp;outSR=4326&amp;f=geojson</x:v>
      </x:c>
      <x:c r="G85" s="32" t="str">
        <x:v>HASANLAR</x:v>
      </x:c>
      <x:c r="H85" s="32" t="str">
        <x:v>DÜZCE</x:v>
      </x:c>
      <x:c r="I85" s="36"/>
      <x:c r="J85" s="36"/>
      <x:c r="K85" s="38" t="n">
        <x:v>255.5</x:v>
      </x:c>
      <x:c r="L85" s="38" t="n">
        <x:v>225.5</x:v>
      </x:c>
      <x:c r="M85" s="32"/>
      <x:c r="N85" s="38" t="n">
        <x:v>9.4</x:v>
      </x:c>
      <x:c r="O85" s="38" t="n">
        <x:v>22</x:v>
      </x:c>
      <x:c r="P85" s="38" t="n">
        <x:v>34.24</x:v>
      </x:c>
      <x:c r="Q85" s="38" t="n">
        <x:v>0</x:v>
      </x:c>
      <x:c r="R85" s="38" t="n">
        <x:v>12.64</x:v>
      </x:c>
      <x:c r="S85" s="38" t="n">
        <x:v>1.33</x:v>
      </x:c>
      <x:c r="T85" s="40" t="n">
        <x:v>46278.81434027778</x:v>
      </x:c>
      <x:c r="U85" s="32" t="str">
        <x:v>exact</x:v>
      </x:c>
      <x:c r="V85" s="32" t="str">
        <x:v>B</x:v>
      </x:c>
      <x:c r="W85" s="32" t="str">
        <x:v>Yüklü Debi_ve_Kurulu_Guc-13092026.xlsx</x:v>
      </x:c>
      <x:c r="X85" s="32" t="str">
        <x:v>Yüklü Debi_ve_Kurulu_Guc-13092026.xlsx</x:v>
      </x:c>
      <x:c r="Y85" s="32"/>
      <x:c r="Z85" s="32" t="str">
        <x:v>10</x:v>
      </x:c>
      <x:c r="AA85" s="101" t="str">
        <x:v>Kaskat alanında kaynak değeri '10' (belirsiz/sentinel); Koordinat güvenilir açık kaynaktan doğrulanamadı</x:v>
      </x:c>
    </x:row>
    <x:row r="86" ht="30" customHeight="1">
      <x:c r="A86" s="100" t="n">
        <x:v>83</x:v>
      </x:c>
      <x:c r="B86" s="32" t="str">
        <x:v>HASAN UĞURLU HES</x:v>
      </x:c>
      <x:c r="C86" s="32" t="str">
        <x:v>Yeşilırmak</x:v>
      </x:c>
      <x:c r="D86" s="32" t="str">
        <x:v>Yeşilırmak</x:v>
      </x:c>
      <x:c r="E86" s="34" t="n">
        <x:v>14</x:v>
      </x:c>
      <x:c r="F86" s="32" t="str">
        <x:v>https://cbs1.tarimorman.gov.tr/server/rest/services/TATUS/FeatureServer/11/query?where=ID%3D14&amp;outFields=ID%2CHAVZA_ADI%2CALAN_KM2&amp;returnGeometry=true&amp;outSR=4326&amp;f=geojson</x:v>
      </x:c>
      <x:c r="G86" s="32" t="str">
        <x:v>H.UĞURLU</x:v>
      </x:c>
      <x:c r="H86" s="32" t="str">
        <x:v>SAMSUN</x:v>
      </x:c>
      <x:c r="I86" s="36" t="n">
        <x:v>40.93654</x:v>
      </x:c>
      <x:c r="J86" s="36" t="n">
        <x:v>36.64676</x:v>
      </x:c>
      <x:c r="K86" s="38" t="n">
        <x:v>190</x:v>
      </x:c>
      <x:c r="L86" s="38" t="n">
        <x:v>150</x:v>
      </x:c>
      <x:c r="M86" s="32" t="str">
        <x:v>SUAT UĞURLU HES</x:v>
      </x:c>
      <x:c r="N86" s="38" t="n">
        <x:v>500</x:v>
      </x:c>
      <x:c r="O86" s="38" t="n">
        <x:v>520</x:v>
      </x:c>
      <x:c r="P86" s="38" t="n">
        <x:v>740.92</x:v>
      </x:c>
      <x:c r="Q86" s="38" t="n">
        <x:v>183.2</x:v>
      </x:c>
      <x:c r="R86" s="38" t="n">
        <x:v>307.82</x:v>
      </x:c>
      <x:c r="S86" s="38" t="n">
        <x:v>82.09</x:v>
      </x:c>
      <x:c r="T86" s="40" t="n">
        <x:v>46278.81434027778</x:v>
      </x:c>
      <x:c r="U86" s="32" t="str">
        <x:v>alias</x:v>
      </x:c>
      <x:c r="V86" s="32" t="str">
        <x:v>A</x:v>
      </x:c>
      <x:c r="W86" s="32" t="str">
        <x:v>Yüklü Debi_ve_Kurulu_Guc-13092026.xlsx</x:v>
      </x:c>
      <x:c r="X86" s="32" t="str">
        <x:v>Yüklü Debi_ve_Kurulu_Guc-13092026.xlsx</x:v>
      </x:c>
      <x:c r="Y86" s="32" t="str">
        <x:v>https://cbs1.tarimorman.gov.tr/server/rest/services/TATUS/FeatureServer/7</x:v>
      </x:c>
      <x:c r="Z86" s="32" t="str">
        <x:v>SUAT UĞURLU HES</x:v>
      </x:c>
      <x:c r="AA86" s="101" t="str">
        <x:v>Baraj adı eşleşmesi: H.UĞURLU</x:v>
      </x:c>
    </x:row>
    <x:row r="87" ht="30" customHeight="1">
      <x:c r="A87" s="100" t="n">
        <x:v>84</x:v>
      </x:c>
      <x:c r="B87" s="32" t="str">
        <x:v>HİRFANLI HES</x:v>
      </x:c>
      <x:c r="C87" s="32" t="str">
        <x:v>Kızılırmak</x:v>
      </x:c>
      <x:c r="D87" s="32" t="str">
        <x:v>Kızılırmak</x:v>
      </x:c>
      <x:c r="E87" s="34" t="n">
        <x:v>15</x:v>
      </x:c>
      <x:c r="F87" s="32" t="str">
        <x:v>https://cbs1.tarimorman.gov.tr/server/rest/services/TATUS/FeatureServer/11/query?where=ID%3D15&amp;outFields=ID%2CHAVZA_ADI%2CALAN_KM2&amp;returnGeometry=true&amp;outSR=4326&amp;f=geojson</x:v>
      </x:c>
      <x:c r="G87" s="32" t="str">
        <x:v>HİRFANLI</x:v>
      </x:c>
      <x:c r="H87" s="32" t="str">
        <x:v>ANKARA</x:v>
      </x:c>
      <x:c r="I87" s="36" t="n">
        <x:v>39.2728</x:v>
      </x:c>
      <x:c r="J87" s="36" t="n">
        <x:v>33.51871</x:v>
      </x:c>
      <x:c r="K87" s="38" t="n">
        <x:v>851</x:v>
      </x:c>
      <x:c r="L87" s="38" t="n">
        <x:v>842</x:v>
      </x:c>
      <x:c r="M87" s="32" t="str">
        <x:v>KESİKKÖPRÜ</x:v>
      </x:c>
      <x:c r="N87" s="38" t="n">
        <x:v>128</x:v>
      </x:c>
      <x:c r="O87" s="38" t="n">
        <x:v>240</x:v>
      </x:c>
      <x:c r="P87" s="38" t="n">
        <x:v>5653.28</x:v>
      </x:c>
      <x:c r="Q87" s="38" t="n">
        <x:v>3683.77</x:v>
      </x:c>
      <x:c r="R87" s="38" t="n">
        <x:v>954.24</x:v>
      </x:c>
      <x:c r="S87" s="38" t="n">
        <x:v>145.66</x:v>
      </x:c>
      <x:c r="T87" s="40" t="n">
        <x:v>46278.81434027778</x:v>
      </x:c>
      <x:c r="U87" s="32" t="str">
        <x:v>exact</x:v>
      </x:c>
      <x:c r="V87" s="32" t="str">
        <x:v>A</x:v>
      </x:c>
      <x:c r="W87" s="32" t="str">
        <x:v>Yüklü Debi_ve_Kurulu_Guc-13092026.xlsx</x:v>
      </x:c>
      <x:c r="X87" s="32" t="str">
        <x:v>Yüklü Debi_ve_Kurulu_Guc-13092026.xlsx</x:v>
      </x:c>
      <x:c r="Y87" s="32" t="str">
        <x:v>https://cbs1.tarimorman.gov.tr/server/rest/services/TATUS/FeatureServer/7</x:v>
      </x:c>
      <x:c r="Z87" s="32" t="str">
        <x:v>KESİKKÖPRÜ</x:v>
      </x:c>
      <x:c r="AA87" s="101" t="str"/>
    </x:row>
    <x:row r="88" ht="30" customHeight="1">
      <x:c r="A88" s="100" t="n">
        <x:v>85</x:v>
      </x:c>
      <x:c r="B88" s="32" t="str">
        <x:v>HOŞAP HES</x:v>
      </x:c>
      <x:c r="C88" s="32" t="str">
        <x:v>Van Gölü</x:v>
      </x:c>
      <x:c r="D88" s="32" t="str">
        <x:v>Van Gölü</x:v>
      </x:c>
      <x:c r="E88" s="34" t="n">
        <x:v>25</x:v>
      </x:c>
      <x:c r="F88" s="32" t="str">
        <x:v>https://cbs1.tarimorman.gov.tr/server/rest/services/TATUS/FeatureServer/11/query?where=ID%3D25&amp;outFields=ID%2CHAVZA_ADI%2CALAN_KM2&amp;returnGeometry=true&amp;outSR=4326&amp;f=geojson</x:v>
      </x:c>
      <x:c r="G88" s="32" t="str">
        <x:v>ZERNEK</x:v>
      </x:c>
      <x:c r="H88" s="32" t="str">
        <x:v>VAN</x:v>
      </x:c>
      <x:c r="I88" s="36"/>
      <x:c r="J88" s="36"/>
      <x:c r="K88" s="38" t="n">
        <x:v>1935</x:v>
      </x:c>
      <x:c r="L88" s="38" t="n">
        <x:v>1910.5</x:v>
      </x:c>
      <x:c r="M88" s="32"/>
      <x:c r="N88" s="38" t="n">
        <x:v>4.5</x:v>
      </x:c>
      <x:c r="O88" s="38" t="n">
        <x:v>7.7</x:v>
      </x:c>
      <x:c r="P88" s="38" t="n">
        <x:v>105.76</x:v>
      </x:c>
      <x:c r="Q88" s="38" t="n">
        <x:v>20.37</x:v>
      </x:c>
      <x:c r="R88" s="38" t="n">
        <x:v>56.41</x:v>
      </x:c>
      <x:c r="S88" s="38" t="n">
        <x:v>6.61</x:v>
      </x:c>
      <x:c r="T88" s="40" t="n">
        <x:v>46278.81434027778</x:v>
      </x:c>
      <x:c r="U88" s="32" t="str">
        <x:v>alias</x:v>
      </x:c>
      <x:c r="V88" s="32" t="str">
        <x:v>B</x:v>
      </x:c>
      <x:c r="W88" s="32" t="str">
        <x:v>Yüklü Debi_ve_Kurulu_Guc-13092026.xlsx</x:v>
      </x:c>
      <x:c r="X88" s="32" t="str">
        <x:v>Yüklü Debi_ve_Kurulu_Guc-13092026.xlsx</x:v>
      </x:c>
      <x:c r="Y88" s="32"/>
      <x:c r="Z88" s="32" t="str">
        <x:v>10</x:v>
      </x:c>
      <x:c r="AA88" s="101" t="str">
        <x:v>Baraj adı eşleşmesi: ZERNEK; Kaskat alanında kaynak değeri '10' (belirsiz/sentinel); Koordinat güvenilir açık kaynaktan doğrulanamadı</x:v>
      </x:c>
    </x:row>
    <x:row r="89" ht="30" customHeight="1">
      <x:c r="A89" s="100" t="n">
        <x:v>86</x:v>
      </x:c>
      <x:c r="B89" s="32" t="str">
        <x:v>ILISU HES</x:v>
      </x:c>
      <x:c r="C89" s="32" t="str">
        <x:v>Fırat Dicle</x:v>
      </x:c>
      <x:c r="D89" s="32" t="str">
        <x:v>Fırat-Dicle</x:v>
      </x:c>
      <x:c r="E89" s="34" t="n">
        <x:v>21</x:v>
      </x:c>
      <x:c r="F89" s="32" t="str">
        <x:v>https://cbs1.tarimorman.gov.tr/server/rest/services/TATUS/FeatureServer/11/query?where=ID%3D21&amp;outFields=ID%2CHAVZA_ADI%2CALAN_KM2&amp;returnGeometry=true&amp;outSR=4326&amp;f=geojson</x:v>
      </x:c>
      <x:c r="G89" s="32" t="str">
        <x:v>ILISU</x:v>
      </x:c>
      <x:c r="H89" s="32" t="str">
        <x:v>MARDİN/ŞIRNAK</x:v>
      </x:c>
      <x:c r="I89" s="36"/>
      <x:c r="J89" s="36"/>
      <x:c r="K89" s="38" t="n">
        <x:v>527.86</x:v>
      </x:c>
      <x:c r="L89" s="38" t="n">
        <x:v>485</x:v>
      </x:c>
      <x:c r="M89" s="32"/>
      <x:c r="N89" s="38" t="n">
        <x:v>1209</x:v>
      </x:c>
      <x:c r="O89" s="38"/>
      <x:c r="P89" s="38"/>
      <x:c r="Q89" s="38"/>
      <x:c r="R89" s="38"/>
      <x:c r="S89" s="38"/>
      <x:c r="T89" s="40"/>
      <x:c r="U89" s="32" t="str">
        <x:v>eşleşme yok</x:v>
      </x:c>
      <x:c r="V89" s="32" t="str">
        <x:v>C</x:v>
      </x:c>
      <x:c r="W89" s="32" t="str">
        <x:v>https://openinframap.org/stats/area/Turkey/plants?source=hydro</x:v>
      </x:c>
      <x:c r="X89" s="32" t="str">
        <x:v>https://openinframap.org/stats/area/Turkey/plants?source=hydro</x:v>
      </x:c>
      <x:c r="Y89" s="32"/>
      <x:c r="Z89" s="32" t="str">
        <x:v>10</x:v>
      </x:c>
      <x:c r="AA89" s="101" t="str">
        <x:v>EPİAŞ su göstergesi eşleşmesi bulunamadı; Kaskat alanında kaynak değeri '10' (belirsiz/sentinel); Koordinat güvenilir açık kaynaktan doğrulanamadı; Ünite debisi doğrulanamadı; Maksimum/minimum hacim doğrulanamadı</x:v>
      </x:c>
    </x:row>
    <x:row r="90" ht="30" customHeight="1">
      <x:c r="A90" s="100" t="n">
        <x:v>87</x:v>
      </x:c>
      <x:c r="B90" s="32" t="str">
        <x:v>KADINCIK1 HES</x:v>
      </x:c>
      <x:c r="C90" s="32" t="str">
        <x:v>Doğu Akdeniz</x:v>
      </x:c>
      <x:c r="D90" s="32" t="str">
        <x:v>Doğu Akdeniz</x:v>
      </x:c>
      <x:c r="E90" s="34" t="n">
        <x:v>17</x:v>
      </x:c>
      <x:c r="F90" s="32" t="str">
        <x:v>https://cbs1.tarimorman.gov.tr/server/rest/services/TATUS/FeatureServer/11/query?where=ID%3D17&amp;outFields=ID%2CHAVZA_ADI%2CALAN_KM2&amp;returnGeometry=true&amp;outSR=4326&amp;f=geojson</x:v>
      </x:c>
      <x:c r="G90" s="32" t="str">
        <x:v>KADINCIK1</x:v>
      </x:c>
      <x:c r="H90" s="32" t="str">
        <x:v>MERSİN</x:v>
      </x:c>
      <x:c r="I90" s="36"/>
      <x:c r="J90" s="36"/>
      <x:c r="K90" s="38" t="n">
        <x:v>406.48</x:v>
      </x:c>
      <x:c r="L90" s="38" t="n">
        <x:v>400</x:v>
      </x:c>
      <x:c r="M90" s="32"/>
      <x:c r="N90" s="38" t="n">
        <x:v>70</x:v>
      </x:c>
      <x:c r="O90" s="38"/>
      <x:c r="P90" s="38"/>
      <x:c r="Q90" s="38"/>
      <x:c r="R90" s="38"/>
      <x:c r="S90" s="38"/>
      <x:c r="T90" s="40"/>
      <x:c r="U90" s="32" t="str">
        <x:v>eşleşme yok</x:v>
      </x:c>
      <x:c r="V90" s="32" t="str">
        <x:v>C</x:v>
      </x:c>
      <x:c r="W90" s="32" t="str">
        <x:v>https://www.enerjiatlasi.com/hidroelektrik/?v=1.0.24</x:v>
      </x:c>
      <x:c r="X90" s="32" t="str">
        <x:v>https://openinframap.org/stats/area/Turkey/plants?source=hydro</x:v>
      </x:c>
      <x:c r="Y90" s="32"/>
      <x:c r="Z90" s="32" t="str">
        <x:v>10</x:v>
      </x:c>
      <x:c r="AA90" s="101" t="str">
        <x:v>EPİAŞ su göstergesi eşleşmesi bulunamadı; Kaskat alanında kaynak değeri '10' (belirsiz/sentinel); Koordinat güvenilir açık kaynaktan doğrulanamadı; Ünite debisi doğrulanamadı; Maksimum/minimum hacim doğrulanamadı</x:v>
      </x:c>
    </x:row>
    <x:row r="91" ht="30" customHeight="1">
      <x:c r="A91" s="100" t="n">
        <x:v>88</x:v>
      </x:c>
      <x:c r="B91" s="32" t="str">
        <x:v>KADINCIK2 HES</x:v>
      </x:c>
      <x:c r="C91" s="32" t="str">
        <x:v>Doğu Akdeniz</x:v>
      </x:c>
      <x:c r="D91" s="32" t="str">
        <x:v>Doğu Akdeniz</x:v>
      </x:c>
      <x:c r="E91" s="34" t="n">
        <x:v>17</x:v>
      </x:c>
      <x:c r="F91" s="32" t="str">
        <x:v>https://cbs1.tarimorman.gov.tr/server/rest/services/TATUS/FeatureServer/11/query?where=ID%3D17&amp;outFields=ID%2CHAVZA_ADI%2CALAN_KM2&amp;returnGeometry=true&amp;outSR=4326&amp;f=geojson</x:v>
      </x:c>
      <x:c r="G91" s="32" t="str">
        <x:v>KADINCIK2</x:v>
      </x:c>
      <x:c r="H91" s="32" t="str">
        <x:v>MERSİN</x:v>
      </x:c>
      <x:c r="I91" s="36"/>
      <x:c r="J91" s="36"/>
      <x:c r="K91" s="38" t="n">
        <x:v>214.72</x:v>
      </x:c>
      <x:c r="L91" s="38" t="n">
        <x:v>212.7</x:v>
      </x:c>
      <x:c r="M91" s="32"/>
      <x:c r="N91" s="38" t="n">
        <x:v>56</x:v>
      </x:c>
      <x:c r="O91" s="38"/>
      <x:c r="P91" s="38"/>
      <x:c r="Q91" s="38"/>
      <x:c r="R91" s="38"/>
      <x:c r="S91" s="38"/>
      <x:c r="T91" s="40"/>
      <x:c r="U91" s="32" t="str">
        <x:v>eşleşme yok</x:v>
      </x:c>
      <x:c r="V91" s="32" t="str">
        <x:v>C</x:v>
      </x:c>
      <x:c r="W91" s="32" t="str">
        <x:v>https://www.enerjiatlasi.com/hidroelektrik/?v=1.0.24</x:v>
      </x:c>
      <x:c r="X91" s="32" t="str">
        <x:v>https://openinframap.org/stats/area/Turkey/plants?source=hydro</x:v>
      </x:c>
      <x:c r="Y91" s="32"/>
      <x:c r="Z91" s="32" t="str">
        <x:v>10</x:v>
      </x:c>
      <x:c r="AA91" s="101" t="str">
        <x:v>EPİAŞ su göstergesi eşleşmesi bulunamadı; Kaskat alanında kaynak değeri '10' (belirsiz/sentinel); Koordinat güvenilir açık kaynaktan doğrulanamadı; Ünite debisi doğrulanamadı; Maksimum/minimum hacim doğrulanamadı</x:v>
      </x:c>
    </x:row>
    <x:row r="92" ht="30" customHeight="1">
      <x:c r="A92" s="100" t="n">
        <x:v>89</x:v>
      </x:c>
      <x:c r="B92" s="32" t="str">
        <x:v>KANDİL HES</x:v>
      </x:c>
      <x:c r="C92" s="32" t="str">
        <x:v>Ceyhan</x:v>
      </x:c>
      <x:c r="D92" s="32" t="str">
        <x:v>Ceyhan</x:v>
      </x:c>
      <x:c r="E92" s="34" t="n">
        <x:v>20</x:v>
      </x:c>
      <x:c r="F92" s="32" t="str">
        <x:v>https://cbs1.tarimorman.gov.tr/server/rest/services/TATUS/FeatureServer/11/query?where=ID%3D20&amp;outFields=ID%2CHAVZA_ADI%2CALAN_KM2&amp;returnGeometry=true&amp;outSR=4326&amp;f=geojson</x:v>
      </x:c>
      <x:c r="G92" s="32" t="str">
        <x:v>KANDİL HES</x:v>
      </x:c>
      <x:c r="H92" s="32" t="str">
        <x:v>KAHRAMANMARAŞ</x:v>
      </x:c>
      <x:c r="I92" s="36"/>
      <x:c r="J92" s="36"/>
      <x:c r="K92" s="38" t="n">
        <x:v>1098.5</x:v>
      </x:c>
      <x:c r="L92" s="38" t="n">
        <x:v>1064</x:v>
      </x:c>
      <x:c r="M92" s="32" t="str">
        <x:v>SARIGÜZEL HES</x:v>
      </x:c>
      <x:c r="N92" s="38" t="n">
        <x:v>199</x:v>
      </x:c>
      <x:c r="O92" s="38" t="n">
        <x:v>103</x:v>
      </x:c>
      <x:c r="P92" s="38" t="n">
        <x:v>438</x:v>
      </x:c>
      <x:c r="Q92" s="38" t="n">
        <x:v>115</x:v>
      </x:c>
      <x:c r="R92" s="38" t="n">
        <x:v>196.67</x:v>
      </x:c>
      <x:c r="S92" s="38" t="n">
        <x:v>108.84</x:v>
      </x:c>
      <x:c r="T92" s="40" t="n">
        <x:v>46278.81434027778</x:v>
      </x:c>
      <x:c r="U92" s="32" t="str">
        <x:v>exact</x:v>
      </x:c>
      <x:c r="V92" s="32" t="str">
        <x:v>B</x:v>
      </x:c>
      <x:c r="W92" s="32" t="str">
        <x:v>Yüklü Debi_ve_Kurulu_Guc-13092026.xlsx</x:v>
      </x:c>
      <x:c r="X92" s="32" t="str">
        <x:v>Yüklü Debi_ve_Kurulu_Guc-13092026.xlsx</x:v>
      </x:c>
      <x:c r="Y92" s="32"/>
      <x:c r="Z92" s="32" t="str">
        <x:v>SARIGÜZEL HES</x:v>
      </x:c>
      <x:c r="AA92" s="101" t="str">
        <x:v>Koordinat güvenilir açık kaynaktan doğrulanamadı</x:v>
      </x:c>
    </x:row>
    <x:row r="93" ht="30" customHeight="1">
      <x:c r="A93" s="100" t="n">
        <x:v>90</x:v>
      </x:c>
      <x:c r="B93" s="32" t="str">
        <x:v>KAPULUKAYA HES</x:v>
      </x:c>
      <x:c r="C93" s="32" t="str">
        <x:v>Kızılırmak</x:v>
      </x:c>
      <x:c r="D93" s="32" t="str">
        <x:v>Kızılırmak</x:v>
      </x:c>
      <x:c r="E93" s="34" t="n">
        <x:v>15</x:v>
      </x:c>
      <x:c r="F93" s="32" t="str">
        <x:v>https://cbs1.tarimorman.gov.tr/server/rest/services/TATUS/FeatureServer/11/query?where=ID%3D15&amp;outFields=ID%2CHAVZA_ADI%2CALAN_KM2&amp;returnGeometry=true&amp;outSR=4326&amp;f=geojson</x:v>
      </x:c>
      <x:c r="G93" s="32" t="str">
        <x:v>KAPULUKAYA</x:v>
      </x:c>
      <x:c r="H93" s="32" t="str">
        <x:v>KIRIKKALE</x:v>
      </x:c>
      <x:c r="I93" s="36" t="n">
        <x:v>39.73053</x:v>
      </x:c>
      <x:c r="J93" s="36" t="n">
        <x:v>33.48299</x:v>
      </x:c>
      <x:c r="K93" s="38" t="n">
        <x:v>724</x:v>
      </x:c>
      <x:c r="L93" s="38" t="n">
        <x:v>715</x:v>
      </x:c>
      <x:c r="M93" s="32"/>
      <x:c r="N93" s="38" t="n">
        <x:v>54</x:v>
      </x:c>
      <x:c r="O93" s="38" t="n">
        <x:v>55</x:v>
      </x:c>
      <x:c r="P93" s="38" t="n">
        <x:v>224.91</x:v>
      </x:c>
      <x:c r="Q93" s="38" t="n">
        <x:v>111.73</x:v>
      </x:c>
      <x:c r="R93" s="38" t="n">
        <x:v>100.36</x:v>
      </x:c>
      <x:c r="S93" s="38" t="n">
        <x:v>10.04</x:v>
      </x:c>
      <x:c r="T93" s="40" t="n">
        <x:v>46278.81434027778</x:v>
      </x:c>
      <x:c r="U93" s="32" t="str">
        <x:v>exact</x:v>
      </x:c>
      <x:c r="V93" s="32" t="str">
        <x:v>A</x:v>
      </x:c>
      <x:c r="W93" s="32" t="str">
        <x:v>Yüklü Debi_ve_Kurulu_Guc-13092026.xlsx</x:v>
      </x:c>
      <x:c r="X93" s="32" t="str">
        <x:v>Yüklü Debi_ve_Kurulu_Guc-13092026.xlsx</x:v>
      </x:c>
      <x:c r="Y93" s="32" t="str">
        <x:v>https://cbs1.tarimorman.gov.tr/server/rest/services/TATUS/FeatureServer/7</x:v>
      </x:c>
      <x:c r="Z93" s="32" t="str">
        <x:v>10</x:v>
      </x:c>
      <x:c r="AA93" s="101" t="str">
        <x:v>Kaskat alanında kaynak değeri '10' (belirsiz/sentinel)</x:v>
      </x:c>
    </x:row>
    <x:row r="94" ht="30" customHeight="1">
      <x:c r="A94" s="100" t="n">
        <x:v>91</x:v>
      </x:c>
      <x:c r="B94" s="32" t="str">
        <x:v>KARACAÖREN1 HES</x:v>
      </x:c>
      <x:c r="C94" s="32" t="str">
        <x:v>Orta Akdeniz</x:v>
      </x:c>
      <x:c r="D94" s="32" t="str">
        <x:v>Antalya</x:v>
      </x:c>
      <x:c r="E94" s="34" t="n">
        <x:v>9</x:v>
      </x:c>
      <x:c r="F94" s="32" t="str">
        <x:v>https://cbs1.tarimorman.gov.tr/server/rest/services/TATUS/FeatureServer/11/query?where=ID%3D9&amp;outFields=ID%2CHAVZA_ADI%2CALAN_KM2&amp;returnGeometry=true&amp;outSR=4326&amp;f=geojson</x:v>
      </x:c>
      <x:c r="G94" s="32" t="str">
        <x:v>KARACAÖREN I</x:v>
      </x:c>
      <x:c r="H94" s="32" t="str">
        <x:v>BURDUR</x:v>
      </x:c>
      <x:c r="I94" s="36"/>
      <x:c r="J94" s="36"/>
      <x:c r="K94" s="38" t="n">
        <x:v>270</x:v>
      </x:c>
      <x:c r="L94" s="38" t="n">
        <x:v>245</x:v>
      </x:c>
      <x:c r="M94" s="32"/>
      <x:c r="N94" s="38" t="n">
        <x:v>32</x:v>
      </x:c>
      <x:c r="O94" s="38" t="n">
        <x:v>52</x:v>
      </x:c>
      <x:c r="P94" s="38" t="n">
        <x:v>1234</x:v>
      </x:c>
      <x:c r="Q94" s="38" t="n">
        <x:v>346.96</x:v>
      </x:c>
      <x:c r="R94" s="38" t="n">
        <x:v>402.92</x:v>
      </x:c>
      <x:c r="S94" s="38" t="n">
        <x:v>71.76</x:v>
      </x:c>
      <x:c r="T94" s="40" t="n">
        <x:v>46278.81434027778</x:v>
      </x:c>
      <x:c r="U94" s="32" t="str">
        <x:v>alias</x:v>
      </x:c>
      <x:c r="V94" s="32" t="str">
        <x:v>B</x:v>
      </x:c>
      <x:c r="W94" s="32" t="str">
        <x:v>Yüklü Debi_ve_Kurulu_Guc-13092026.xlsx</x:v>
      </x:c>
      <x:c r="X94" s="32" t="str">
        <x:v>Yüklü Debi_ve_Kurulu_Guc-13092026.xlsx</x:v>
      </x:c>
      <x:c r="Y94" s="32"/>
      <x:c r="Z94" s="32" t="str">
        <x:v>10</x:v>
      </x:c>
      <x:c r="AA94" s="101" t="str">
        <x:v>Baraj adı eşleşmesi: KARACAÖREN I; Kaskat alanında kaynak değeri '10' (belirsiz/sentinel); Koordinat güvenilir açık kaynaktan doğrulanamadı</x:v>
      </x:c>
    </x:row>
    <x:row r="95" ht="30" customHeight="1">
      <x:c r="A95" s="100" t="n">
        <x:v>92</x:v>
      </x:c>
      <x:c r="B95" s="32" t="str">
        <x:v>KARACAÖREN2 HES</x:v>
      </x:c>
      <x:c r="C95" s="32" t="str">
        <x:v>Orta Akdeniz</x:v>
      </x:c>
      <x:c r="D95" s="32" t="str">
        <x:v>Antalya</x:v>
      </x:c>
      <x:c r="E95" s="34" t="n">
        <x:v>9</x:v>
      </x:c>
      <x:c r="F95" s="32" t="str">
        <x:v>https://cbs1.tarimorman.gov.tr/server/rest/services/TATUS/FeatureServer/11/query?where=ID%3D9&amp;outFields=ID%2CHAVZA_ADI%2CALAN_KM2&amp;returnGeometry=true&amp;outSR=4326&amp;f=geojson</x:v>
      </x:c>
      <x:c r="G95" s="32" t="str">
        <x:v>KARACAÖREN II</x:v>
      </x:c>
      <x:c r="H95" s="32" t="str">
        <x:v>BURDUR</x:v>
      </x:c>
      <x:c r="I95" s="36"/>
      <x:c r="J95" s="36"/>
      <x:c r="K95" s="38" t="n">
        <x:v>187.5</x:v>
      </x:c>
      <x:c r="L95" s="38" t="n">
        <x:v>185</x:v>
      </x:c>
      <x:c r="M95" s="32"/>
      <x:c r="N95" s="38" t="n">
        <x:v>47.2</x:v>
      </x:c>
      <x:c r="O95" s="38" t="n">
        <x:v>51.2</x:v>
      </x:c>
      <x:c r="P95" s="38" t="n">
        <x:v>31.38</x:v>
      </x:c>
      <x:c r="Q95" s="38" t="n">
        <x:v>26.34</x:v>
      </x:c>
      <x:c r="R95" s="38" t="n">
        <x:v>4.41</x:v>
      </x:c>
      <x:c r="S95" s="38" t="n">
        <x:v>1.18</x:v>
      </x:c>
      <x:c r="T95" s="40" t="n">
        <x:v>46278.81434027778</x:v>
      </x:c>
      <x:c r="U95" s="32" t="str">
        <x:v>alias</x:v>
      </x:c>
      <x:c r="V95" s="32" t="str">
        <x:v>B</x:v>
      </x:c>
      <x:c r="W95" s="32" t="str">
        <x:v>Yüklü Debi_ve_Kurulu_Guc-13092026.xlsx</x:v>
      </x:c>
      <x:c r="X95" s="32" t="str">
        <x:v>Yüklü Debi_ve_Kurulu_Guc-13092026.xlsx</x:v>
      </x:c>
      <x:c r="Y95" s="32"/>
      <x:c r="Z95" s="32" t="str">
        <x:v>10</x:v>
      </x:c>
      <x:c r="AA95" s="101" t="str">
        <x:v>Baraj adı eşleşmesi: KARACAÖREN II; Kaskat alanında kaynak değeri '10' (belirsiz/sentinel); Koordinat güvenilir açık kaynaktan doğrulanamadı</x:v>
      </x:c>
    </x:row>
    <x:row r="96" ht="30" customHeight="1">
      <x:c r="A96" s="100" t="n">
        <x:v>93</x:v>
      </x:c>
      <x:c r="B96" s="32" t="str">
        <x:v>KARAKAYA HES DİYARBAKIR</x:v>
      </x:c>
      <x:c r="C96" s="32" t="str">
        <x:v>Fırat Dicle</x:v>
      </x:c>
      <x:c r="D96" s="32" t="str">
        <x:v>Fırat-Dicle</x:v>
      </x:c>
      <x:c r="E96" s="34" t="n">
        <x:v>21</x:v>
      </x:c>
      <x:c r="F96" s="32" t="str">
        <x:v>https://cbs1.tarimorman.gov.tr/server/rest/services/TATUS/FeatureServer/11/query?where=ID%3D21&amp;outFields=ID%2CHAVZA_ADI%2CALAN_KM2&amp;returnGeometry=true&amp;outSR=4326&amp;f=geojson</x:v>
      </x:c>
      <x:c r="G96" s="32" t="str">
        <x:v>KARAKAYA</x:v>
      </x:c>
      <x:c r="H96" s="32" t="str">
        <x:v>DİYARBAKIR</x:v>
      </x:c>
      <x:c r="I96" s="36" t="n">
        <x:v>38.226389</x:v>
      </x:c>
      <x:c r="J96" s="36" t="n">
        <x:v>39.135556</x:v>
      </x:c>
      <x:c r="K96" s="38" t="n">
        <x:v>693</x:v>
      </x:c>
      <x:c r="L96" s="38" t="n">
        <x:v>675</x:v>
      </x:c>
      <x:c r="M96" s="32" t="str">
        <x:v>ATATÜRK HES</x:v>
      </x:c>
      <x:c r="N96" s="38" t="n">
        <x:v>1800</x:v>
      </x:c>
      <x:c r="O96" s="38"/>
      <x:c r="P96" s="38"/>
      <x:c r="Q96" s="38"/>
      <x:c r="R96" s="38"/>
      <x:c r="S96" s="38"/>
      <x:c r="T96" s="40"/>
      <x:c r="U96" s="32" t="str">
        <x:v>eşleşme yok</x:v>
      </x:c>
      <x:c r="V96" s="32" t="str">
        <x:v>B</x:v>
      </x:c>
      <x:c r="W96" s="32" t="str">
        <x:v>https://openinframap.org/stats/area/Turkey/plants?source=hydro</x:v>
      </x:c>
      <x:c r="X96" s="32" t="str">
        <x:v>https://openinframap.org/stats/area/Turkey/plants?source=hydro</x:v>
      </x:c>
      <x:c r="Y96" s="32" t="str">
        <x:v>https://www.wikidata.org/wiki/Q152556</x:v>
      </x:c>
      <x:c r="Z96" s="32" t="str">
        <x:v>ATATÜRK HES</x:v>
      </x:c>
      <x:c r="AA96" s="101" t="str">
        <x:v>EPİAŞ su göstergesi eşleşmesi bulunamadı; Ünite debisi doğrulanamadı; Maksimum/minimum hacim doğrulanamadı</x:v>
      </x:c>
    </x:row>
    <x:row r="97" ht="30" customHeight="1">
      <x:c r="A97" s="100" t="n">
        <x:v>94</x:v>
      </x:c>
      <x:c r="B97" s="32" t="str">
        <x:v>KARAKURT HES</x:v>
      </x:c>
      <x:c r="C97" s="32" t="str">
        <x:v>Aras</x:v>
      </x:c>
      <x:c r="D97" s="32" t="str">
        <x:v>Aras</x:v>
      </x:c>
      <x:c r="E97" s="34" t="n">
        <x:v>24</x:v>
      </x:c>
      <x:c r="F97" s="32" t="str">
        <x:v>https://cbs1.tarimorman.gov.tr/server/rest/services/TATUS/FeatureServer/11/query?where=ID%3D24&amp;outFields=ID%2CHAVZA_ADI%2CALAN_KM2&amp;returnGeometry=true&amp;outSR=4326&amp;f=geojson</x:v>
      </x:c>
      <x:c r="G97" s="32" t="str">
        <x:v>KARAKURT</x:v>
      </x:c>
      <x:c r="H97" s="32" t="str">
        <x:v>KARS</x:v>
      </x:c>
      <x:c r="I97" s="36"/>
      <x:c r="J97" s="36"/>
      <x:c r="K97" s="38" t="n">
        <x:v>1505.5</x:v>
      </x:c>
      <x:c r="L97" s="38" t="n">
        <x:v>1470</x:v>
      </x:c>
      <x:c r="M97" s="32" t="str">
        <x:v>SEFAKÖY HES</x:v>
      </x:c>
      <x:c r="N97" s="38" t="n">
        <x:v>97</x:v>
      </x:c>
      <x:c r="O97" s="38"/>
      <x:c r="P97" s="38"/>
      <x:c r="Q97" s="38"/>
      <x:c r="R97" s="38"/>
      <x:c r="S97" s="38"/>
      <x:c r="T97" s="40"/>
      <x:c r="U97" s="32" t="str">
        <x:v>eşleşme yok</x:v>
      </x:c>
      <x:c r="V97" s="32" t="str">
        <x:v>C</x:v>
      </x:c>
      <x:c r="W97" s="32" t="str">
        <x:v>https://openinframap.org/stats/area/Turkey/plants?source=hydro</x:v>
      </x:c>
      <x:c r="X97" s="32" t="str">
        <x:v>https://openinframap.org/stats/area/Turkey/plants?source=hydro</x:v>
      </x:c>
      <x:c r="Y97" s="32"/>
      <x:c r="Z97" s="32" t="str">
        <x:v>SEFAKÖY HES</x:v>
      </x:c>
      <x:c r="AA97" s="101" t="str">
        <x:v>EPİAŞ su göstergesi eşleşmesi bulunamadı; Koordinat güvenilir açık kaynaktan doğrulanamadı; Ünite debisi doğrulanamadı; Maksimum/minimum hacim doğrulanamadı</x:v>
      </x:c>
    </x:row>
    <x:row r="98" ht="30" customHeight="1">
      <x:c r="A98" s="100" t="n">
        <x:v>95</x:v>
      </x:c>
      <x:c r="B98" s="32" t="str">
        <x:v>KARAKUZ HES</x:v>
      </x:c>
      <x:c r="C98" s="32" t="str">
        <x:v>Doğu Akdeniz</x:v>
      </x:c>
      <x:c r="D98" s="32" t="str">
        <x:v>Doğu Akdeniz</x:v>
      </x:c>
      <x:c r="E98" s="34" t="n">
        <x:v>17</x:v>
      </x:c>
      <x:c r="F98" s="32" t="str">
        <x:v>https://cbs1.tarimorman.gov.tr/server/rest/services/TATUS/FeatureServer/11/query?where=ID%3D17&amp;outFields=ID%2CHAVZA_ADI%2CALAN_KM2&amp;returnGeometry=true&amp;outSR=4326&amp;f=geojson</x:v>
      </x:c>
      <x:c r="G98" s="32" t="str">
        <x:v>KARAKUZ</x:v>
      </x:c>
      <x:c r="H98" s="32" t="str">
        <x:v>ADANA</x:v>
      </x:c>
      <x:c r="I98" s="36"/>
      <x:c r="J98" s="36"/>
      <x:c r="K98" s="38" t="n">
        <x:v>831</x:v>
      </x:c>
      <x:c r="L98" s="38" t="n">
        <x:v>818</x:v>
      </x:c>
      <x:c r="M98" s="32"/>
      <x:c r="N98" s="38" t="n">
        <x:v>76</x:v>
      </x:c>
      <x:c r="O98" s="38" t="n">
        <x:v>16.4</x:v>
      </x:c>
      <x:c r="P98" s="38" t="n">
        <x:v>5.11</x:v>
      </x:c>
      <x:c r="Q98" s="38" t="n">
        <x:v>1.7</x:v>
      </x:c>
      <x:c r="R98" s="38" t="n">
        <x:v>2.25</x:v>
      </x:c>
      <x:c r="S98" s="38" t="n">
        <x:v>3.31</x:v>
      </x:c>
      <x:c r="T98" s="40" t="n">
        <x:v>46278.81434027778</x:v>
      </x:c>
      <x:c r="U98" s="32" t="str">
        <x:v>exact</x:v>
      </x:c>
      <x:c r="V98" s="32" t="str">
        <x:v>B</x:v>
      </x:c>
      <x:c r="W98" s="32" t="str">
        <x:v>Yüklü Debi_ve_Kurulu_Guc-13092026.xlsx</x:v>
      </x:c>
      <x:c r="X98" s="32" t="str">
        <x:v>Yüklü Debi_ve_Kurulu_Guc-13092026.xlsx</x:v>
      </x:c>
      <x:c r="Y98" s="32"/>
      <x:c r="Z98" s="32" t="str">
        <x:v>10</x:v>
      </x:c>
      <x:c r="AA98" s="101" t="str">
        <x:v>Kaskat alanında kaynak değeri '10' (belirsiz/sentinel); Koordinat güvenilir açık kaynaktan doğrulanamadı</x:v>
      </x:c>
    </x:row>
    <x:row r="99" ht="30" customHeight="1">
      <x:c r="A99" s="100" t="n">
        <x:v>96</x:v>
      </x:c>
      <x:c r="B99" s="32" t="str">
        <x:v>KARAMENDERES HES</x:v>
      </x:c>
      <x:c r="C99" s="32" t="str">
        <x:v>Kuzey Ege</x:v>
      </x:c>
      <x:c r="D99" s="32" t="str">
        <x:v>Kuzey Ege</x:v>
      </x:c>
      <x:c r="E99" s="34" t="n">
        <x:v>4</x:v>
      </x:c>
      <x:c r="F99" s="32" t="str">
        <x:v>https://cbs1.tarimorman.gov.tr/server/rest/services/TATUS/FeatureServer/11/query?where=ID%3D4&amp;outFields=ID%2CHAVZA_ADI%2CALAN_KM2&amp;returnGeometry=true&amp;outSR=4326&amp;f=geojson</x:v>
      </x:c>
      <x:c r="G99" s="32" t="str">
        <x:v>BAYRAMİÇ</x:v>
      </x:c>
      <x:c r="H99" s="32" t="str">
        <x:v>ÇANAKKALE</x:v>
      </x:c>
      <x:c r="I99" s="36"/>
      <x:c r="J99" s="36"/>
      <x:c r="K99" s="38" t="n">
        <x:v>144.5</x:v>
      </x:c>
      <x:c r="L99" s="38" t="n">
        <x:v>122</x:v>
      </x:c>
      <x:c r="M99" s="32"/>
      <x:c r="N99" s="38" t="n">
        <x:v>1.8</x:v>
      </x:c>
      <x:c r="O99" s="38" t="n">
        <x:v>6.8</x:v>
      </x:c>
      <x:c r="P99" s="38" t="n">
        <x:v>96.24</x:v>
      </x:c>
      <x:c r="Q99" s="38" t="n">
        <x:v>9.77</x:v>
      </x:c>
      <x:c r="R99" s="38" t="n">
        <x:v>15.46</x:v>
      </x:c>
      <x:c r="S99" s="38" t="n">
        <x:v>1.09</x:v>
      </x:c>
      <x:c r="T99" s="40" t="n">
        <x:v>46278.81434027778</x:v>
      </x:c>
      <x:c r="U99" s="32" t="str">
        <x:v>alias</x:v>
      </x:c>
      <x:c r="V99" s="32" t="str">
        <x:v>B</x:v>
      </x:c>
      <x:c r="W99" s="32" t="str">
        <x:v>Yüklü Debi_ve_Kurulu_Guc-13092026.xlsx</x:v>
      </x:c>
      <x:c r="X99" s="32" t="str">
        <x:v>Yüklü Debi_ve_Kurulu_Guc-13092026.xlsx</x:v>
      </x:c>
      <x:c r="Y99" s="32"/>
      <x:c r="Z99" s="32" t="str">
        <x:v>10</x:v>
      </x:c>
      <x:c r="AA99" s="101" t="str">
        <x:v>Baraj adı eşleşmesi: BAYRAMİÇ; Kaskat alanında kaynak değeri '10' (belirsiz/sentinel); Koordinat güvenilir açık kaynaktan doğrulanamadı</x:v>
      </x:c>
    </x:row>
    <x:row r="100" ht="30" customHeight="1">
      <x:c r="A100" s="100" t="n">
        <x:v>97</x:v>
      </x:c>
      <x:c r="B100" s="32" t="str">
        <x:v>KARGI HES</x:v>
      </x:c>
      <x:c r="C100" s="32" t="str">
        <x:v>Sakarya</x:v>
      </x:c>
      <x:c r="D100" s="32" t="str">
        <x:v>Sakarya</x:v>
      </x:c>
      <x:c r="E100" s="34" t="n">
        <x:v>12</x:v>
      </x:c>
      <x:c r="F100" s="32" t="str">
        <x:v>https://cbs1.tarimorman.gov.tr/server/rest/services/TATUS/FeatureServer/11/query?where=ID%3D12&amp;outFields=ID%2CHAVZA_ADI%2CALAN_KM2&amp;returnGeometry=true&amp;outSR=4326&amp;f=geojson</x:v>
      </x:c>
      <x:c r="G100" s="32" t="str">
        <x:v>KARGI BARAJI VE HES</x:v>
      </x:c>
      <x:c r="H100" s="32" t="str">
        <x:v>ANKARA</x:v>
      </x:c>
      <x:c r="I100" s="36"/>
      <x:c r="J100" s="36"/>
      <x:c r="K100" s="38" t="n">
        <x:v>557.5</x:v>
      </x:c>
      <x:c r="L100" s="38" t="n">
        <x:v>552.6</x:v>
      </x:c>
      <x:c r="M100" s="32" t="str">
        <x:v>SARIYAR HES</x:v>
      </x:c>
      <x:c r="N100" s="38" t="n">
        <x:v>97</x:v>
      </x:c>
      <x:c r="O100" s="38" t="n">
        <x:v>137</x:v>
      </x:c>
      <x:c r="P100" s="38" t="n">
        <x:v>49.9</x:v>
      </x:c>
      <x:c r="Q100" s="38" t="n">
        <x:v>40.12</x:v>
      </x:c>
      <x:c r="R100" s="38" t="n">
        <x:v>5.05</x:v>
      </x:c>
      <x:c r="S100" s="38" t="n">
        <x:v>1.05</x:v>
      </x:c>
      <x:c r="T100" s="40" t="n">
        <x:v>46278.81434027778</x:v>
      </x:c>
      <x:c r="U100" s="32" t="str">
        <x:v>exact</x:v>
      </x:c>
      <x:c r="V100" s="32" t="str">
        <x:v>B</x:v>
      </x:c>
      <x:c r="W100" s="32" t="str">
        <x:v>Yüklü Debi_ve_Kurulu_Guc-13092026.xlsx</x:v>
      </x:c>
      <x:c r="X100" s="32" t="str">
        <x:v>Yüklü Debi_ve_Kurulu_Guc-13092026.xlsx</x:v>
      </x:c>
      <x:c r="Y100" s="32"/>
      <x:c r="Z100" s="32" t="str">
        <x:v>SARIYAR HES</x:v>
      </x:c>
      <x:c r="AA100" s="101" t="str">
        <x:v>Koordinat güvenilir açık kaynaktan doğrulanamadı</x:v>
      </x:c>
    </x:row>
    <x:row r="101" ht="30" customHeight="1">
      <x:c r="A101" s="100" t="n">
        <x:v>98</x:v>
      </x:c>
      <x:c r="B101" s="32" t="str">
        <x:v>KARGI KIZILIRMAK HES</x:v>
      </x:c>
      <x:c r="C101" s="32" t="str">
        <x:v>Kızılırmak</x:v>
      </x:c>
      <x:c r="D101" s="32" t="str">
        <x:v>Kızılırmak</x:v>
      </x:c>
      <x:c r="E101" s="34" t="n">
        <x:v>15</x:v>
      </x:c>
      <x:c r="F101" s="32" t="str">
        <x:v>https://cbs1.tarimorman.gov.tr/server/rest/services/TATUS/FeatureServer/11/query?where=ID%3D15&amp;outFields=ID%2CHAVZA_ADI%2CALAN_KM2&amp;returnGeometry=true&amp;outSR=4326&amp;f=geojson</x:v>
      </x:c>
      <x:c r="G101" s="32" t="str">
        <x:v>KARGI KIZILIRMAK</x:v>
      </x:c>
      <x:c r="H101" s="32" t="str">
        <x:v>ÇORUM</x:v>
      </x:c>
      <x:c r="I101" s="36"/>
      <x:c r="J101" s="36"/>
      <x:c r="K101" s="38" t="n">
        <x:v>405</x:v>
      </x:c>
      <x:c r="L101" s="38" t="n">
        <x:v>402</x:v>
      </x:c>
      <x:c r="M101" s="32" t="str">
        <x:v>BOYABAT HES</x:v>
      </x:c>
      <x:c r="N101" s="38" t="n">
        <x:v>103</x:v>
      </x:c>
      <x:c r="O101" s="38" t="n">
        <x:v>167</x:v>
      </x:c>
      <x:c r="P101" s="38" t="n">
        <x:v>15.42</x:v>
      </x:c>
      <x:c r="Q101" s="38" t="n">
        <x:v>5.61</x:v>
      </x:c>
      <x:c r="R101" s="38" t="n">
        <x:v>2.33</x:v>
      </x:c>
      <x:c r="S101" s="38" t="n">
        <x:v>0.43</x:v>
      </x:c>
      <x:c r="T101" s="40" t="n">
        <x:v>46278.81434027778</x:v>
      </x:c>
      <x:c r="U101" s="32" t="str">
        <x:v>alias</x:v>
      </x:c>
      <x:c r="V101" s="32" t="str">
        <x:v>B</x:v>
      </x:c>
      <x:c r="W101" s="32" t="str">
        <x:v>Yüklü Debi_ve_Kurulu_Guc-13092026.xlsx</x:v>
      </x:c>
      <x:c r="X101" s="32" t="str">
        <x:v>Yüklü Debi_ve_Kurulu_Guc-13092026.xlsx</x:v>
      </x:c>
      <x:c r="Y101" s="32"/>
      <x:c r="Z101" s="32" t="str">
        <x:v>BOYABAT HES</x:v>
      </x:c>
      <x:c r="AA101" s="101" t="str">
        <x:v>Baraj adı eşleşmesi: KARGI KIZILIRMAK; Koordinat güvenilir açık kaynaktan doğrulanamadı</x:v>
      </x:c>
    </x:row>
    <x:row r="102" ht="30" customHeight="1">
      <x:c r="A102" s="100" t="n">
        <x:v>99</x:v>
      </x:c>
      <x:c r="B102" s="32" t="str">
        <x:v>KARGILIK HES</x:v>
      </x:c>
      <x:c r="C102" s="32" t="str">
        <x:v>Ceyhan</x:v>
      </x:c>
      <x:c r="D102" s="32" t="str">
        <x:v>Ceyhan</x:v>
      </x:c>
      <x:c r="E102" s="34" t="n">
        <x:v>20</x:v>
      </x:c>
      <x:c r="F102" s="32" t="str">
        <x:v>https://cbs1.tarimorman.gov.tr/server/rest/services/TATUS/FeatureServer/11/query?where=ID%3D20&amp;outFields=ID%2CHAVZA_ADI%2CALAN_KM2&amp;returnGeometry=true&amp;outSR=4326&amp;f=geojson</x:v>
      </x:c>
      <x:c r="G102" s="32" t="str">
        <x:v>KARGILIK</x:v>
      </x:c>
      <x:c r="H102" s="32" t="str">
        <x:v>KAHRAMANMARAŞ</x:v>
      </x:c>
      <x:c r="I102" s="36"/>
      <x:c r="J102" s="36"/>
      <x:c r="K102" s="38" t="n">
        <x:v>382.5</x:v>
      </x:c>
      <x:c r="L102" s="38" t="n">
        <x:v>379</x:v>
      </x:c>
      <x:c r="M102" s="32"/>
      <x:c r="N102" s="38" t="n">
        <x:v>23.9</x:v>
      </x:c>
      <x:c r="O102" s="38"/>
      <x:c r="P102" s="38"/>
      <x:c r="Q102" s="38"/>
      <x:c r="R102" s="38"/>
      <x:c r="S102" s="38"/>
      <x:c r="T102" s="40"/>
      <x:c r="U102" s="32" t="str">
        <x:v>eşleşme yok</x:v>
      </x:c>
      <x:c r="V102" s="32" t="str">
        <x:v>C</x:v>
      </x:c>
      <x:c r="W102" s="32" t="str">
        <x:v>https://www.tektug.com/projects/kargilik-hes-24-mw/</x:v>
      </x:c>
      <x:c r="X102" s="32" t="str">
        <x:v>https://openinframap.org/stats/area/Turkey/plants?source=hydro</x:v>
      </x:c>
      <x:c r="Y102" s="32"/>
      <x:c r="Z102" s="32" t="str">
        <x:v>10</x:v>
      </x:c>
      <x:c r="AA102" s="101" t="str">
        <x:v>EPİAŞ su göstergesi eşleşmesi bulunamadı; Kaskat alanında kaynak değeri '10' (belirsiz/sentinel); Koordinat güvenilir açık kaynaktan doğrulanamadı; Ünite debisi doğrulanamadı; Maksimum/minimum hacim doğrulanamadı</x:v>
      </x:c>
    </x:row>
    <x:row r="103" ht="30" customHeight="1">
      <x:c r="A103" s="100" t="n">
        <x:v>100</x:v>
      </x:c>
      <x:c r="B103" s="32" t="str">
        <x:v>KARKAMIŞ HES</x:v>
      </x:c>
      <x:c r="C103" s="32" t="str">
        <x:v>Fırat Dicle</x:v>
      </x:c>
      <x:c r="D103" s="32" t="str">
        <x:v>Fırat-Dicle</x:v>
      </x:c>
      <x:c r="E103" s="34" t="n">
        <x:v>21</x:v>
      </x:c>
      <x:c r="F103" s="32" t="str">
        <x:v>https://cbs1.tarimorman.gov.tr/server/rest/services/TATUS/FeatureServer/11/query?where=ID%3D21&amp;outFields=ID%2CHAVZA_ADI%2CALAN_KM2&amp;returnGeometry=true&amp;outSR=4326&amp;f=geojson</x:v>
      </x:c>
      <x:c r="G103" s="32" t="str">
        <x:v>KARKAMIŞ</x:v>
      </x:c>
      <x:c r="H103" s="32" t="str">
        <x:v>GAZİANTEP</x:v>
      </x:c>
      <x:c r="I103" s="36"/>
      <x:c r="J103" s="36"/>
      <x:c r="K103" s="38" t="n">
        <x:v>340</x:v>
      </x:c>
      <x:c r="L103" s="38" t="n">
        <x:v>336</x:v>
      </x:c>
      <x:c r="M103" s="32"/>
      <x:c r="N103" s="38" t="n">
        <x:v>189</x:v>
      </x:c>
      <x:c r="O103" s="38"/>
      <x:c r="P103" s="38"/>
      <x:c r="Q103" s="38"/>
      <x:c r="R103" s="38"/>
      <x:c r="S103" s="38"/>
      <x:c r="T103" s="40"/>
      <x:c r="U103" s="32" t="str">
        <x:v>eşleşme yok</x:v>
      </x:c>
      <x:c r="V103" s="32" t="str">
        <x:v>C</x:v>
      </x:c>
      <x:c r="W103" s="32" t="str">
        <x:v>https://www.enerjiatlasi.com/hidroelektrik/?v=1.0.24</x:v>
      </x:c>
      <x:c r="X103" s="32" t="str">
        <x:v>https://openinframap.org/stats/area/Turkey/plants?source=hydro</x:v>
      </x:c>
      <x:c r="Y103" s="32"/>
      <x:c r="Z103" s="32" t="str">
        <x:v>10</x:v>
      </x:c>
      <x:c r="AA103" s="101" t="str">
        <x:v>EPİAŞ su göstergesi eşleşmesi bulunamadı; Kaskat alanında kaynak değeri '10' (belirsiz/sentinel); Koordinat güvenilir açık kaynaktan doğrulanamadı; Ünite debisi doğrulanamadı; Maksimum/minimum hacim doğrulanamadı</x:v>
      </x:c>
    </x:row>
    <x:row r="104" ht="30" customHeight="1">
      <x:c r="A104" s="100" t="n">
        <x:v>101</x:v>
      </x:c>
      <x:c r="B104" s="32" t="str">
        <x:v>KARTALKAYA HES</x:v>
      </x:c>
      <x:c r="C104" s="32" t="str">
        <x:v>Ceyhan</x:v>
      </x:c>
      <x:c r="D104" s="32" t="str">
        <x:v>Ceyhan</x:v>
      </x:c>
      <x:c r="E104" s="34" t="n">
        <x:v>20</x:v>
      </x:c>
      <x:c r="F104" s="32" t="str">
        <x:v>https://cbs1.tarimorman.gov.tr/server/rest/services/TATUS/FeatureServer/11/query?where=ID%3D20&amp;outFields=ID%2CHAVZA_ADI%2CALAN_KM2&amp;returnGeometry=true&amp;outSR=4326&amp;f=geojson</x:v>
      </x:c>
      <x:c r="G104" s="32" t="str">
        <x:v>KARTALKAYA</x:v>
      </x:c>
      <x:c r="H104" s="32" t="str">
        <x:v>KAHRAMANMARAŞ</x:v>
      </x:c>
      <x:c r="I104" s="36"/>
      <x:c r="J104" s="36"/>
      <x:c r="K104" s="38" t="n">
        <x:v>717.48</x:v>
      </x:c>
      <x:c r="L104" s="38" t="n">
        <x:v>685.08</x:v>
      </x:c>
      <x:c r="M104" s="32" t="str">
        <x:v>SIR HES</x:v>
      </x:c>
      <x:c r="N104" s="38" t="n">
        <x:v>8</x:v>
      </x:c>
      <x:c r="O104" s="38" t="n">
        <x:v>19.7</x:v>
      </x:c>
      <x:c r="P104" s="38" t="n">
        <x:v>160.78</x:v>
      </x:c>
      <x:c r="Q104" s="38" t="n">
        <x:v>0</x:v>
      </x:c>
      <x:c r="R104" s="38" t="n">
        <x:v>80.36</x:v>
      </x:c>
      <x:c r="S104" s="38" t="n">
        <x:v>9.16</x:v>
      </x:c>
      <x:c r="T104" s="40" t="n">
        <x:v>46278.81434027778</x:v>
      </x:c>
      <x:c r="U104" s="32" t="str">
        <x:v>exact</x:v>
      </x:c>
      <x:c r="V104" s="32" t="str">
        <x:v>B</x:v>
      </x:c>
      <x:c r="W104" s="32" t="str">
        <x:v>Yüklü Debi_ve_Kurulu_Guc-13092026.xlsx</x:v>
      </x:c>
      <x:c r="X104" s="32" t="str">
        <x:v>Yüklü Debi_ve_Kurulu_Guc-13092026.xlsx</x:v>
      </x:c>
      <x:c r="Y104" s="32"/>
      <x:c r="Z104" s="32" t="str">
        <x:v>SIR HES</x:v>
      </x:c>
      <x:c r="AA104" s="101" t="str">
        <x:v>Koordinat güvenilir açık kaynaktan doğrulanamadı</x:v>
      </x:c>
    </x:row>
    <x:row r="105" ht="30" customHeight="1">
      <x:c r="A105" s="100" t="n">
        <x:v>102</x:v>
      </x:c>
      <x:c r="B105" s="32" t="str">
        <x:v>KASIMLAR HES</x:v>
      </x:c>
      <x:c r="C105" s="32" t="str">
        <x:v>Orta Akdeniz</x:v>
      </x:c>
      <x:c r="D105" s="32" t="str">
        <x:v>Antalya</x:v>
      </x:c>
      <x:c r="E105" s="34" t="n">
        <x:v>9</x:v>
      </x:c>
      <x:c r="F105" s="32" t="str">
        <x:v>https://cbs1.tarimorman.gov.tr/server/rest/services/TATUS/FeatureServer/11/query?where=ID%3D9&amp;outFields=ID%2CHAVZA_ADI%2CALAN_KM2&amp;returnGeometry=true&amp;outSR=4326&amp;f=geojson</x:v>
      </x:c>
      <x:c r="G105" s="32" t="str">
        <x:v>KASIMLAR</x:v>
      </x:c>
      <x:c r="H105" s="32" t="str">
        <x:v>ISPARTA</x:v>
      </x:c>
      <x:c r="I105" s="36"/>
      <x:c r="J105" s="36"/>
      <x:c r="K105" s="38" t="n">
        <x:v>828</x:v>
      </x:c>
      <x:c r="L105" s="38" t="n">
        <x:v>792</x:v>
      </x:c>
      <x:c r="M105" s="32"/>
      <x:c r="N105" s="38" t="n">
        <x:v>25</x:v>
      </x:c>
      <x:c r="O105" s="38"/>
      <x:c r="P105" s="38"/>
      <x:c r="Q105" s="38"/>
      <x:c r="R105" s="38"/>
      <x:c r="S105" s="38"/>
      <x:c r="T105" s="40"/>
      <x:c r="U105" s="32" t="str">
        <x:v>eşleşme yok</x:v>
      </x:c>
      <x:c r="V105" s="32" t="str">
        <x:v>C</x:v>
      </x:c>
      <x:c r="W105" s="32" t="str">
        <x:v>https://www.enerjiatlasi.com/hidroelektrik/?v=1.0.24</x:v>
      </x:c>
      <x:c r="X105" s="32" t="str">
        <x:v>https://openinframap.org/stats/area/Turkey/plants?source=hydro</x:v>
      </x:c>
      <x:c r="Y105" s="32"/>
      <x:c r="Z105" s="32" t="str">
        <x:v>10</x:v>
      </x:c>
      <x:c r="AA105" s="101" t="str">
        <x:v>EPİAŞ su göstergesi eşleşmesi bulunamadı; Kaskat alanında kaynak değeri '10' (belirsiz/sentinel); Koordinat güvenilir açık kaynaktan doğrulanamadı; Ünite debisi doğrulanamadı; Maksimum/minimum hacim doğrulanamadı</x:v>
      </x:c>
    </x:row>
    <x:row r="106" ht="30" customHeight="1">
      <x:c r="A106" s="100" t="n">
        <x:v>103</x:v>
      </x:c>
      <x:c r="B106" s="32" t="str">
        <x:v>KAVŞAKBENDİ HES</x:v>
      </x:c>
      <x:c r="C106" s="32" t="str">
        <x:v>Seyhan</x:v>
      </x:c>
      <x:c r="D106" s="32" t="str">
        <x:v>Seyhan</x:v>
      </x:c>
      <x:c r="E106" s="34" t="n">
        <x:v>18</x:v>
      </x:c>
      <x:c r="F106" s="32" t="str">
        <x:v>https://cbs1.tarimorman.gov.tr/server/rest/services/TATUS/FeatureServer/11/query?where=ID%3D18&amp;outFields=ID%2CHAVZA_ADI%2CALAN_KM2&amp;returnGeometry=true&amp;outSR=4326&amp;f=geojson</x:v>
      </x:c>
      <x:c r="G106" s="32" t="str">
        <x:v>KAVŞAKBENDİ HES</x:v>
      </x:c>
      <x:c r="H106" s="32" t="str">
        <x:v>ADANA</x:v>
      </x:c>
      <x:c r="I106" s="36" t="n">
        <x:v>37.562578</x:v>
      </x:c>
      <x:c r="J106" s="36" t="n">
        <x:v>35.5294</x:v>
      </x:c>
      <x:c r="K106" s="38" t="n">
        <x:v>318</x:v>
      </x:c>
      <x:c r="L106" s="38" t="n">
        <x:v>312</x:v>
      </x:c>
      <x:c r="M106" s="32" t="str">
        <x:v>SANİBEY HES</x:v>
      </x:c>
      <x:c r="N106" s="38" t="n">
        <x:v>185.8</x:v>
      </x:c>
      <x:c r="O106" s="38" t="n">
        <x:v>264.2</x:v>
      </x:c>
      <x:c r="P106" s="38" t="n">
        <x:v>30.19</x:v>
      </x:c>
      <x:c r="Q106" s="38" t="n">
        <x:v>22.63</x:v>
      </x:c>
      <x:c r="R106" s="38" t="n">
        <x:v>3.64</x:v>
      </x:c>
      <x:c r="S106" s="38" t="n">
        <x:v>0.75</x:v>
      </x:c>
      <x:c r="T106" s="40" t="n">
        <x:v>46278.81434027778</x:v>
      </x:c>
      <x:c r="U106" s="32" t="str">
        <x:v>exact</x:v>
      </x:c>
      <x:c r="V106" s="32" t="str">
        <x:v>A</x:v>
      </x:c>
      <x:c r="W106" s="32" t="str">
        <x:v>Yüklü Debi_ve_Kurulu_Guc-13092026.xlsx</x:v>
      </x:c>
      <x:c r="X106" s="32" t="str">
        <x:v>Yüklü Debi_ve_Kurulu_Guc-13092026.xlsx</x:v>
      </x:c>
      <x:c r="Y106" s="32" t="str">
        <x:v>https://turkiyebarajlar.com/baraj/kavsakbendi-hes</x:v>
      </x:c>
      <x:c r="Z106" s="32" t="str">
        <x:v>SANİBEY HES</x:v>
      </x:c>
      <x:c r="AA106" s="101" t="str"/>
    </x:row>
    <x:row r="107" ht="30" customHeight="1">
      <x:c r="A107" s="100" t="n">
        <x:v>104</x:v>
      </x:c>
      <x:c r="B107" s="32" t="str">
        <x:v>KAYAKÖPRÜ HES</x:v>
      </x:c>
      <x:c r="C107" s="32" t="str">
        <x:v>Doğu Karadeniz</x:v>
      </x:c>
      <x:c r="D107" s="32" t="str">
        <x:v>Doğu Karadeniz</x:v>
      </x:c>
      <x:c r="E107" s="34" t="n">
        <x:v>22</x:v>
      </x:c>
      <x:c r="F107" s="32" t="str">
        <x:v>https://cbs1.tarimorman.gov.tr/server/rest/services/TATUS/FeatureServer/11/query?where=ID%3D22&amp;outFields=ID%2CHAVZA_ADI%2CALAN_KM2&amp;returnGeometry=true&amp;outSR=4326&amp;f=geojson</x:v>
      </x:c>
      <x:c r="G107" s="32" t="str">
        <x:v>KAYAKÖPRÜ</x:v>
      </x:c>
      <x:c r="H107" s="32" t="str">
        <x:v>GİRESUN</x:v>
      </x:c>
      <x:c r="I107" s="36"/>
      <x:c r="J107" s="36"/>
      <x:c r="K107" s="38" t="n">
        <x:v>847</x:v>
      </x:c>
      <x:c r="L107" s="38" t="n">
        <x:v>838</x:v>
      </x:c>
      <x:c r="M107" s="32"/>
      <x:c r="N107" s="38" t="n">
        <x:v>38.6</x:v>
      </x:c>
      <x:c r="O107" s="38"/>
      <x:c r="P107" s="38"/>
      <x:c r="Q107" s="38"/>
      <x:c r="R107" s="38"/>
      <x:c r="S107" s="38"/>
      <x:c r="T107" s="40"/>
      <x:c r="U107" s="32" t="str">
        <x:v>eşleşme yok</x:v>
      </x:c>
      <x:c r="V107" s="32" t="str">
        <x:v>C</x:v>
      </x:c>
      <x:c r="W107" s="32" t="str">
        <x:v>https://www.enerjiatlasi.com/hidroelektrik/kayakopru-hes.html</x:v>
      </x:c>
      <x:c r="X107" s="32" t="str">
        <x:v>https://www.enerjiatlasi.com/hidroelektrik/kayakopru-hes.html</x:v>
      </x:c>
      <x:c r="Y107" s="32"/>
      <x:c r="Z107" s="32" t="str">
        <x:v>10</x:v>
      </x:c>
      <x:c r="AA107" s="101" t="str">
        <x:v>EPİAŞ su göstergesi eşleşmesi bulunamadı; Kaskat alanında kaynak değeri '10' (belirsiz/sentinel); Koordinat güvenilir açık kaynaktan doğrulanamadı; Ünite debisi doğrulanamadı; Maksimum/minimum hacim doğrulanamadı</x:v>
      </x:c>
    </x:row>
    <x:row r="108" ht="30" customHeight="1">
      <x:c r="A108" s="100" t="n">
        <x:v>105</x:v>
      </x:c>
      <x:c r="B108" s="32" t="str">
        <x:v>KEBAN HES</x:v>
      </x:c>
      <x:c r="C108" s="32" t="str">
        <x:v>Fırat Dicle</x:v>
      </x:c>
      <x:c r="D108" s="32" t="str">
        <x:v>Fırat-Dicle</x:v>
      </x:c>
      <x:c r="E108" s="34" t="n">
        <x:v>21</x:v>
      </x:c>
      <x:c r="F108" s="32" t="str">
        <x:v>https://cbs1.tarimorman.gov.tr/server/rest/services/TATUS/FeatureServer/11/query?where=ID%3D21&amp;outFields=ID%2CHAVZA_ADI%2CALAN_KM2&amp;returnGeometry=true&amp;outSR=4326&amp;f=geojson</x:v>
      </x:c>
      <x:c r="G108" s="32" t="str">
        <x:v>KEBAN</x:v>
      </x:c>
      <x:c r="H108" s="32" t="str">
        <x:v>ELAZIĞ</x:v>
      </x:c>
      <x:c r="I108" s="36"/>
      <x:c r="J108" s="36"/>
      <x:c r="K108" s="38" t="n">
        <x:v>845</x:v>
      </x:c>
      <x:c r="L108" s="38" t="n">
        <x:v>820</x:v>
      </x:c>
      <x:c r="M108" s="32" t="str">
        <x:v>KARAKAYA HES DİYARBAKIR</x:v>
      </x:c>
      <x:c r="N108" s="38" t="n">
        <x:v>1330</x:v>
      </x:c>
      <x:c r="O108" s="38"/>
      <x:c r="P108" s="38"/>
      <x:c r="Q108" s="38"/>
      <x:c r="R108" s="38"/>
      <x:c r="S108" s="38"/>
      <x:c r="T108" s="40"/>
      <x:c r="U108" s="32" t="str">
        <x:v>eşleşme yok</x:v>
      </x:c>
      <x:c r="V108" s="32" t="str">
        <x:v>C</x:v>
      </x:c>
      <x:c r="W108" s="32" t="str">
        <x:v>https://openinframap.org/stats/area/Turkey/plants?source=hydro</x:v>
      </x:c>
      <x:c r="X108" s="32" t="str">
        <x:v>https://openinframap.org/stats/area/Turkey/plants?source=hydro</x:v>
      </x:c>
      <x:c r="Y108" s="32"/>
      <x:c r="Z108" s="32" t="str">
        <x:v>KARAKAYA HES DİYARBAKIR</x:v>
      </x:c>
      <x:c r="AA108" s="101" t="str">
        <x:v>EPİAŞ su göstergesi eşleşmesi bulunamadı; Koordinat güvenilir açık kaynaktan doğrulanamadı; Ünite debisi doğrulanamadı; Maksimum/minimum hacim doğrulanamadı</x:v>
      </x:c>
    </x:row>
    <x:row r="109" ht="30" customHeight="1">
      <x:c r="A109" s="100" t="n">
        <x:v>106</x:v>
      </x:c>
      <x:c r="B109" s="32" t="str">
        <x:v>KEMER HES</x:v>
      </x:c>
      <x:c r="C109" s="32" t="str">
        <x:v>Büyük Menderes</x:v>
      </x:c>
      <x:c r="D109" s="32" t="str">
        <x:v>Büyük Menderes</x:v>
      </x:c>
      <x:c r="E109" s="34" t="n">
        <x:v>7</x:v>
      </x:c>
      <x:c r="F109" s="32" t="str">
        <x:v>https://cbs1.tarimorman.gov.tr/server/rest/services/TATUS/FeatureServer/11/query?where=ID%3D7&amp;outFields=ID%2CHAVZA_ADI%2CALAN_KM2&amp;returnGeometry=true&amp;outSR=4326&amp;f=geojson</x:v>
      </x:c>
      <x:c r="G109" s="32" t="str">
        <x:v>KEMER</x:v>
      </x:c>
      <x:c r="H109" s="32" t="str">
        <x:v>AYDIN</x:v>
      </x:c>
      <x:c r="I109" s="36" t="n">
        <x:v>37.57204</x:v>
      </x:c>
      <x:c r="J109" s="36" t="n">
        <x:v>28.5249</x:v>
      </x:c>
      <x:c r="K109" s="38" t="n">
        <x:v>292.5</x:v>
      </x:c>
      <x:c r="L109" s="38" t="n">
        <x:v>248.65</x:v>
      </x:c>
      <x:c r="M109" s="32"/>
      <x:c r="N109" s="38" t="n">
        <x:v>48</x:v>
      </x:c>
      <x:c r="O109" s="38" t="n">
        <x:v>66.6</x:v>
      </x:c>
      <x:c r="P109" s="38" t="n">
        <x:v>413.97</x:v>
      </x:c>
      <x:c r="Q109" s="38" t="n">
        <x:v>45.66</x:v>
      </x:c>
      <x:c r="R109" s="38" t="n">
        <x:v>91.21</x:v>
      </x:c>
      <x:c r="S109" s="38" t="n">
        <x:v>16.41</x:v>
      </x:c>
      <x:c r="T109" s="40" t="n">
        <x:v>46278.81434027778</x:v>
      </x:c>
      <x:c r="U109" s="32" t="str">
        <x:v>exact</x:v>
      </x:c>
      <x:c r="V109" s="32" t="str">
        <x:v>A</x:v>
      </x:c>
      <x:c r="W109" s="32" t="str">
        <x:v>Yüklü Debi_ve_Kurulu_Guc-13092026.xlsx</x:v>
      </x:c>
      <x:c r="X109" s="32" t="str">
        <x:v>Yüklü Debi_ve_Kurulu_Guc-13092026.xlsx</x:v>
      </x:c>
      <x:c r="Y109" s="32" t="str">
        <x:v>https://cbs1.tarimorman.gov.tr/server/rest/services/TATUS/FeatureServer/7</x:v>
      </x:c>
      <x:c r="Z109" s="32" t="str">
        <x:v>10</x:v>
      </x:c>
      <x:c r="AA109" s="101" t="str">
        <x:v>Kaskat alanında kaynak değeri '10' (belirsiz/sentinel)</x:v>
      </x:c>
    </x:row>
    <x:row r="110" ht="30" customHeight="1">
      <x:c r="A110" s="100" t="n">
        <x:v>107</x:v>
      </x:c>
      <x:c r="B110" s="32" t="str">
        <x:v>KESİKKÖPRÜ</x:v>
      </x:c>
      <x:c r="C110" s="32" t="str">
        <x:v>Kızılırmak</x:v>
      </x:c>
      <x:c r="D110" s="32" t="str">
        <x:v>Kızılırmak</x:v>
      </x:c>
      <x:c r="E110" s="34" t="n">
        <x:v>15</x:v>
      </x:c>
      <x:c r="F110" s="32" t="str">
        <x:v>https://cbs1.tarimorman.gov.tr/server/rest/services/TATUS/FeatureServer/11/query?where=ID%3D15&amp;outFields=ID%2CHAVZA_ADI%2CALAN_KM2&amp;returnGeometry=true&amp;outSR=4326&amp;f=geojson</x:v>
      </x:c>
      <x:c r="G110" s="32" t="str">
        <x:v>KESİKKÖPRÜ</x:v>
      </x:c>
      <x:c r="H110" s="32" t="str">
        <x:v>ANKARA</x:v>
      </x:c>
      <x:c r="I110" s="36" t="n">
        <x:v>39.39565</x:v>
      </x:c>
      <x:c r="J110" s="36" t="n">
        <x:v>33.42084</x:v>
      </x:c>
      <x:c r="K110" s="38" t="n">
        <x:v>785.55</x:v>
      </x:c>
      <x:c r="L110" s="38" t="n">
        <x:v>770.9</x:v>
      </x:c>
      <x:c r="M110" s="32" t="str">
        <x:v>KAPULUKAYA HES</x:v>
      </x:c>
      <x:c r="N110" s="38" t="n">
        <x:v>76</x:v>
      </x:c>
      <x:c r="O110" s="38" t="n">
        <x:v>110</x:v>
      </x:c>
      <x:c r="P110" s="38" t="n">
        <x:v>89.78</x:v>
      </x:c>
      <x:c r="Q110" s="38" t="n">
        <x:v>32.45</x:v>
      </x:c>
      <x:c r="R110" s="38" t="n">
        <x:v>55.54</x:v>
      </x:c>
      <x:c r="S110" s="38" t="n">
        <x:v>5.18</x:v>
      </x:c>
      <x:c r="T110" s="40" t="n">
        <x:v>46278.81434027778</x:v>
      </x:c>
      <x:c r="U110" s="32" t="str">
        <x:v>exact</x:v>
      </x:c>
      <x:c r="V110" s="32" t="str">
        <x:v>A</x:v>
      </x:c>
      <x:c r="W110" s="32" t="str">
        <x:v>Yüklü Debi_ve_Kurulu_Guc-13092026.xlsx</x:v>
      </x:c>
      <x:c r="X110" s="32" t="str">
        <x:v>Yüklü Debi_ve_Kurulu_Guc-13092026.xlsx</x:v>
      </x:c>
      <x:c r="Y110" s="32" t="str">
        <x:v>https://cbs1.tarimorman.gov.tr/server/rest/services/TATUS/FeatureServer/7</x:v>
      </x:c>
      <x:c r="Z110" s="32" t="str">
        <x:v>KAPULUKAYA HES</x:v>
      </x:c>
      <x:c r="AA110" s="101" t="str"/>
    </x:row>
    <x:row r="111" ht="30" customHeight="1">
      <x:c r="A111" s="100" t="n">
        <x:v>108</x:v>
      </x:c>
      <x:c r="B111" s="32" t="str">
        <x:v>KILAVUZLU HES</x:v>
      </x:c>
      <x:c r="C111" s="32" t="str">
        <x:v>Ceyhan</x:v>
      </x:c>
      <x:c r="D111" s="32" t="str">
        <x:v>Ceyhan</x:v>
      </x:c>
      <x:c r="E111" s="34" t="n">
        <x:v>20</x:v>
      </x:c>
      <x:c r="F111" s="32" t="str">
        <x:v>https://cbs1.tarimorman.gov.tr/server/rest/services/TATUS/FeatureServer/11/query?where=ID%3D20&amp;outFields=ID%2CHAVZA_ADI%2CALAN_KM2&amp;returnGeometry=true&amp;outSR=4326&amp;f=geojson</x:v>
      </x:c>
      <x:c r="G111" s="32" t="str">
        <x:v>KILAVUZLU</x:v>
      </x:c>
      <x:c r="H111" s="32" t="str">
        <x:v>KAHRAMANMARAŞ</x:v>
      </x:c>
      <x:c r="I111" s="36" t="n">
        <x:v>37.62661</x:v>
      </x:c>
      <x:c r="J111" s="36" t="n">
        <x:v>36.80339</x:v>
      </x:c>
      <x:c r="K111" s="38" t="n">
        <x:v>485.5</x:v>
      </x:c>
      <x:c r="L111" s="38" t="n">
        <x:v>483.5</x:v>
      </x:c>
      <x:c r="M111" s="32" t="str">
        <x:v>SIR HES</x:v>
      </x:c>
      <x:c r="N111" s="38" t="n">
        <x:v>54</x:v>
      </x:c>
      <x:c r="O111" s="38" t="n">
        <x:v>130.8</x:v>
      </x:c>
      <x:c r="P111" s="38" t="n">
        <x:v>78.65</x:v>
      </x:c>
      <x:c r="Q111" s="38" t="n">
        <x:v>71.99</x:v>
      </x:c>
      <x:c r="R111" s="38" t="n">
        <x:v>5.53</x:v>
      </x:c>
      <x:c r="S111" s="38" t="n">
        <x:v>0.71</x:v>
      </x:c>
      <x:c r="T111" s="40" t="n">
        <x:v>46278.81434027778</x:v>
      </x:c>
      <x:c r="U111" s="32" t="str">
        <x:v>exact</x:v>
      </x:c>
      <x:c r="V111" s="32" t="str">
        <x:v>A</x:v>
      </x:c>
      <x:c r="W111" s="32" t="str">
        <x:v>Yüklü Debi_ve_Kurulu_Guc-13092026.xlsx</x:v>
      </x:c>
      <x:c r="X111" s="32" t="str">
        <x:v>Yüklü Debi_ve_Kurulu_Guc-13092026.xlsx</x:v>
      </x:c>
      <x:c r="Y111" s="32" t="str">
        <x:v>https://cbs1.tarimorman.gov.tr/server/rest/services/TATUS/FeatureServer/7</x:v>
      </x:c>
      <x:c r="Z111" s="32" t="str">
        <x:v>SIR HES</x:v>
      </x:c>
      <x:c r="AA111" s="101" t="str"/>
    </x:row>
    <x:row r="112" ht="30" customHeight="1">
      <x:c r="A112" s="100" t="n">
        <x:v>109</x:v>
      </x:c>
      <x:c r="B112" s="32" t="str">
        <x:v>KILIÇKAYA HES</x:v>
      </x:c>
      <x:c r="C112" s="32" t="str">
        <x:v>Yeşilırmak</x:v>
      </x:c>
      <x:c r="D112" s="32" t="str">
        <x:v>Yeşilırmak</x:v>
      </x:c>
      <x:c r="E112" s="34" t="n">
        <x:v>14</x:v>
      </x:c>
      <x:c r="F112" s="32" t="str">
        <x:v>https://cbs1.tarimorman.gov.tr/server/rest/services/TATUS/FeatureServer/11/query?where=ID%3D14&amp;outFields=ID%2CHAVZA_ADI%2CALAN_KM2&amp;returnGeometry=true&amp;outSR=4326&amp;f=geojson</x:v>
      </x:c>
      <x:c r="G112" s="32" t="str">
        <x:v>KILIÇKAYA</x:v>
      </x:c>
      <x:c r="H112" s="32" t="str">
        <x:v>SİVAS</x:v>
      </x:c>
      <x:c r="I112" s="36"/>
      <x:c r="J112" s="36"/>
      <x:c r="K112" s="38" t="n">
        <x:v>850</x:v>
      </x:c>
      <x:c r="L112" s="38" t="n">
        <x:v>821</x:v>
      </x:c>
      <x:c r="M112" s="32" t="str">
        <x:v>ÇAMLIGÖZE HES</x:v>
      </x:c>
      <x:c r="N112" s="38" t="n">
        <x:v>124</x:v>
      </x:c>
      <x:c r="O112" s="38" t="n">
        <x:v>162.1</x:v>
      </x:c>
      <x:c r="P112" s="38" t="n">
        <x:v>1400.39</x:v>
      </x:c>
      <x:c r="Q112" s="38" t="n">
        <x:v>367.13</x:v>
      </x:c>
      <x:c r="R112" s="38" t="n">
        <x:v>721.2</x:v>
      </x:c>
      <x:c r="S112" s="38" t="n">
        <x:v>141</x:v>
      </x:c>
      <x:c r="T112" s="40" t="n">
        <x:v>46278.81434027778</x:v>
      </x:c>
      <x:c r="U112" s="32" t="str">
        <x:v>exact</x:v>
      </x:c>
      <x:c r="V112" s="32" t="str">
        <x:v>B</x:v>
      </x:c>
      <x:c r="W112" s="32" t="str">
        <x:v>Yüklü Debi_ve_Kurulu_Guc-13092026.xlsx</x:v>
      </x:c>
      <x:c r="X112" s="32" t="str">
        <x:v>Yüklü Debi_ve_Kurulu_Guc-13092026.xlsx</x:v>
      </x:c>
      <x:c r="Y112" s="32"/>
      <x:c r="Z112" s="32" t="str">
        <x:v>ÇAMLIGÖZE HES</x:v>
      </x:c>
      <x:c r="AA112" s="101" t="str">
        <x:v>Koordinat güvenilir açık kaynaktan doğrulanamadı</x:v>
      </x:c>
    </x:row>
    <x:row r="113" ht="30" customHeight="1">
      <x:c r="A113" s="100" t="n">
        <x:v>110</x:v>
      </x:c>
      <x:c r="B113" s="32" t="str">
        <x:v>KİĞI HES</x:v>
      </x:c>
      <x:c r="C113" s="32" t="str">
        <x:v>Fırat Dicle</x:v>
      </x:c>
      <x:c r="D113" s="32" t="str">
        <x:v>Fırat-Dicle</x:v>
      </x:c>
      <x:c r="E113" s="34" t="n">
        <x:v>21</x:v>
      </x:c>
      <x:c r="F113" s="32" t="str">
        <x:v>https://cbs1.tarimorman.gov.tr/server/rest/services/TATUS/FeatureServer/11/query?where=ID%3D21&amp;outFields=ID%2CHAVZA_ADI%2CALAN_KM2&amp;returnGeometry=true&amp;outSR=4326&amp;f=geojson</x:v>
      </x:c>
      <x:c r="G113" s="32" t="str">
        <x:v>KİĞI</x:v>
      </x:c>
      <x:c r="H113" s="32" t="str">
        <x:v>BİNGÖL</x:v>
      </x:c>
      <x:c r="I113" s="36"/>
      <x:c r="J113" s="36"/>
      <x:c r="K113" s="38" t="n">
        <x:v>1365</x:v>
      </x:c>
      <x:c r="L113" s="38" t="n">
        <x:v>1307</x:v>
      </x:c>
      <x:c r="M113" s="32" t="str">
        <x:v>ÖZLÜCE HES</x:v>
      </x:c>
      <x:c r="N113" s="38" t="n">
        <x:v>138</x:v>
      </x:c>
      <x:c r="O113" s="38"/>
      <x:c r="P113" s="38"/>
      <x:c r="Q113" s="38"/>
      <x:c r="R113" s="38"/>
      <x:c r="S113" s="38"/>
      <x:c r="T113" s="40"/>
      <x:c r="U113" s="32" t="str">
        <x:v>eşleşme yok</x:v>
      </x:c>
      <x:c r="V113" s="32" t="str">
        <x:v>C</x:v>
      </x:c>
      <x:c r="W113" s="32" t="str">
        <x:v>https://www.enerjiatlasi.com/hidroelektrik/?v=1.0.24</x:v>
      </x:c>
      <x:c r="X113" s="32" t="str">
        <x:v>https://openinframap.org/stats/area/Turkey/plants?source=hydro</x:v>
      </x:c>
      <x:c r="Y113" s="32"/>
      <x:c r="Z113" s="32" t="str">
        <x:v>ÖZLÜCE HES</x:v>
      </x:c>
      <x:c r="AA113" s="101" t="str">
        <x:v>EPİAŞ su göstergesi eşleşmesi bulunamadı; Koordinat güvenilir açık kaynaktan doğrulanamadı; Ünite debisi doğrulanamadı; Maksimum/minimum hacim doğrulanamadı</x:v>
      </x:c>
    </x:row>
    <x:row r="114" ht="30" customHeight="1">
      <x:c r="A114" s="100" t="n">
        <x:v>111</x:v>
      </x:c>
      <x:c r="B114" s="32" t="str">
        <x:v>KİRAZLIK HES</x:v>
      </x:c>
      <x:c r="C114" s="32" t="str">
        <x:v>Fırat Dicle</x:v>
      </x:c>
      <x:c r="D114" s="32" t="str">
        <x:v>Fırat-Dicle</x:v>
      </x:c>
      <x:c r="E114" s="34" t="n">
        <x:v>21</x:v>
      </x:c>
      <x:c r="F114" s="32" t="str">
        <x:v>https://cbs1.tarimorman.gov.tr/server/rest/services/TATUS/FeatureServer/11/query?where=ID%3D21&amp;outFields=ID%2CHAVZA_ADI%2CALAN_KM2&amp;returnGeometry=true&amp;outSR=4326&amp;f=geojson</x:v>
      </x:c>
      <x:c r="G114" s="32" t="str">
        <x:v>KİRAZLIK</x:v>
      </x:c>
      <x:c r="H114" s="32" t="str">
        <x:v>SİİRT</x:v>
      </x:c>
      <x:c r="I114" s="36"/>
      <x:c r="J114" s="36"/>
      <x:c r="K114" s="38" t="n">
        <x:v>542</x:v>
      </x:c>
      <x:c r="L114" s="38" t="n">
        <x:v>537.5</x:v>
      </x:c>
      <x:c r="M114" s="32"/>
      <x:c r="N114" s="38" t="n">
        <x:v>46</x:v>
      </x:c>
      <x:c r="O114" s="38"/>
      <x:c r="P114" s="38"/>
      <x:c r="Q114" s="38"/>
      <x:c r="R114" s="38"/>
      <x:c r="S114" s="38"/>
      <x:c r="T114" s="40"/>
      <x:c r="U114" s="32" t="str">
        <x:v>eşleşme yok</x:v>
      </x:c>
      <x:c r="V114" s="32" t="str">
        <x:v>C</x:v>
      </x:c>
      <x:c r="W114" s="32" t="str">
        <x:v>https://www.enerjiatlasi.com/hes-haritasi/siirt</x:v>
      </x:c>
      <x:c r="X114" s="32" t="str">
        <x:v>https://www.enerjiatlasi.com/hes-haritasi/siirt</x:v>
      </x:c>
      <x:c r="Y114" s="32"/>
      <x:c r="Z114" s="32" t="str">
        <x:v>10</x:v>
      </x:c>
      <x:c r="AA114" s="101" t="str">
        <x:v>EPİAŞ su göstergesi eşleşmesi bulunamadı; Kaskat alanında kaynak değeri '10' (belirsiz/sentinel); Koordinat güvenilir açık kaynaktan doğrulanamadı; Kurulu güç bulunamadı; Eksik kurulu güç/il bilgisi kamuya açık web kaynağıyla tamamlandı; Ünite debisi doğrulanamadı; Maksimum/minimum hacim doğrulanamadı</x:v>
      </x:c>
    </x:row>
    <x:row r="115" ht="30" customHeight="1">
      <x:c r="A115" s="100" t="n">
        <x:v>112</x:v>
      </x:c>
      <x:c r="B115" s="32" t="str">
        <x:v>KİRAZLI KÖPRÜ BARAJI VE HES</x:v>
      </x:c>
      <x:c r="C115" s="32" t="str">
        <x:v>Batı Karadeniz</x:v>
      </x:c>
      <x:c r="D115" s="32" t="str">
        <x:v>Batı Karadeniz</x:v>
      </x:c>
      <x:c r="E115" s="34" t="n">
        <x:v>13</x:v>
      </x:c>
      <x:c r="F115" s="32" t="str">
        <x:v>https://cbs1.tarimorman.gov.tr/server/rest/services/TATUS/FeatureServer/11/query?where=ID%3D13&amp;outFields=ID%2CHAVZA_ADI%2CALAN_KM2&amp;returnGeometry=true&amp;outSR=4326&amp;f=geojson</x:v>
      </x:c>
      <x:c r="G115" s="32" t="str">
        <x:v>KİRAZLIKÖPRÜ</x:v>
      </x:c>
      <x:c r="H115" s="32" t="str">
        <x:v>BARTIN</x:v>
      </x:c>
      <x:c r="I115" s="36" t="n">
        <x:v>41.534</x:v>
      </x:c>
      <x:c r="J115" s="36" t="n">
        <x:v>32.472</x:v>
      </x:c>
      <x:c r="K115" s="38" t="n">
        <x:v>0</x:v>
      </x:c>
      <x:c r="L115" s="38" t="n">
        <x:v>0</x:v>
      </x:c>
      <x:c r="M115" s="32"/>
      <x:c r="N115" s="38" t="n">
        <x:v>8</x:v>
      </x:c>
      <x:c r="O115" s="38" t="n">
        <x:v>31.5</x:v>
      </x:c>
      <x:c r="P115" s="38" t="n">
        <x:v>66.2</x:v>
      </x:c>
      <x:c r="Q115" s="38" t="n">
        <x:v>10.1</x:v>
      </x:c>
      <x:c r="R115" s="38" t="n">
        <x:v>0.67</x:v>
      </x:c>
      <x:c r="S115" s="38" t="n">
        <x:v>0.04</x:v>
      </x:c>
      <x:c r="T115" s="40" t="n">
        <x:v>46278.81434027778</x:v>
      </x:c>
      <x:c r="U115" s="32" t="str">
        <x:v>exact</x:v>
      </x:c>
      <x:c r="V115" s="32" t="str">
        <x:v>A</x:v>
      </x:c>
      <x:c r="W115" s="32" t="str">
        <x:v>Yüklü Debi_ve_Kurulu_Guc-13092026.xlsx</x:v>
      </x:c>
      <x:c r="X115" s="32" t="str">
        <x:v>Yüklü Debi_ve_Kurulu_Guc-13092026.xlsx</x:v>
      </x:c>
      <x:c r="Y115" s="32" t="str">
        <x:v>https://cbs1.tarimorman.gov.tr/server/rest/services/TATUS/FeatureServer/7</x:v>
      </x:c>
      <x:c r="Z115" s="32" t="str">
        <x:v>10</x:v>
      </x:c>
      <x:c r="AA115" s="101" t="str">
        <x:v>Kaskat alanında kaynak değeri '10' (belirsiz/sentinel)</x:v>
      </x:c>
    </x:row>
    <x:row r="116" ht="30" customHeight="1">
      <x:c r="A116" s="100" t="n">
        <x:v>113</x:v>
      </x:c>
      <x:c r="B116" s="32" t="str">
        <x:v>KOÇKÖPRÜ HES</x:v>
      </x:c>
      <x:c r="C116" s="32" t="str">
        <x:v>Van Gölü</x:v>
      </x:c>
      <x:c r="D116" s="32" t="str">
        <x:v>Van Gölü</x:v>
      </x:c>
      <x:c r="E116" s="34" t="n">
        <x:v>25</x:v>
      </x:c>
      <x:c r="F116" s="32" t="str">
        <x:v>https://cbs1.tarimorman.gov.tr/server/rest/services/TATUS/FeatureServer/11/query?where=ID%3D25&amp;outFields=ID%2CHAVZA_ADI%2CALAN_KM2&amp;returnGeometry=true&amp;outSR=4326&amp;f=geojson</x:v>
      </x:c>
      <x:c r="G116" s="32" t="str">
        <x:v>KOÇKÖPRÜ</x:v>
      </x:c>
      <x:c r="H116" s="32" t="str">
        <x:v>VAN</x:v>
      </x:c>
      <x:c r="I116" s="36" t="n">
        <x:v>39.12198</x:v>
      </x:c>
      <x:c r="J116" s="36" t="n">
        <x:v>43.3294</x:v>
      </x:c>
      <x:c r="K116" s="38" t="n">
        <x:v>1778.5</x:v>
      </x:c>
      <x:c r="L116" s="38" t="n">
        <x:v>1765</x:v>
      </x:c>
      <x:c r="M116" s="32"/>
      <x:c r="N116" s="38" t="n">
        <x:v>8.8</x:v>
      </x:c>
      <x:c r="O116" s="38" t="n">
        <x:v>23</x:v>
      </x:c>
      <x:c r="P116" s="38" t="n">
        <x:v>86.5</x:v>
      </x:c>
      <x:c r="Q116" s="38" t="n">
        <x:v>22.55</x:v>
      </x:c>
      <x:c r="R116" s="38"/>
      <x:c r="S116" s="38"/>
      <x:c r="T116" s="40" t="n">
        <x:v>46278.81434027778</x:v>
      </x:c>
      <x:c r="U116" s="32" t="str">
        <x:v>exact</x:v>
      </x:c>
      <x:c r="V116" s="32" t="str">
        <x:v>A</x:v>
      </x:c>
      <x:c r="W116" s="32" t="str">
        <x:v>Yüklü Debi_ve_Kurulu_Guc-13092026.xlsx</x:v>
      </x:c>
      <x:c r="X116" s="32" t="str">
        <x:v>Yüklü Debi_ve_Kurulu_Guc-13092026.xlsx</x:v>
      </x:c>
      <x:c r="Y116" s="32" t="str">
        <x:v>https://cbs1.tarimorman.gov.tr/server/rest/services/TATUS/FeatureServer/7</x:v>
      </x:c>
      <x:c r="Z116" s="32" t="str">
        <x:v>10</x:v>
      </x:c>
      <x:c r="AA116" s="101" t="str">
        <x:v>Kaskat alanında kaynak değeri '10' (belirsiz/sentinel)</x:v>
      </x:c>
    </x:row>
    <x:row r="117" ht="30" customHeight="1">
      <x:c r="A117" s="100" t="n">
        <x:v>114</x:v>
      </x:c>
      <x:c r="B117" s="32" t="str">
        <x:v>KOTANLI 1-2 HES</x:v>
      </x:c>
      <x:c r="C117" s="32" t="str">
        <x:v>Aras</x:v>
      </x:c>
      <x:c r="D117" s="32" t="str">
        <x:v>Aras</x:v>
      </x:c>
      <x:c r="E117" s="34" t="n">
        <x:v>24</x:v>
      </x:c>
      <x:c r="F117" s="32" t="str">
        <x:v>https://cbs1.tarimorman.gov.tr/server/rest/services/TATUS/FeatureServer/11/query?where=ID%3D24&amp;outFields=ID%2CHAVZA_ADI%2CALAN_KM2&amp;returnGeometry=true&amp;outSR=4326&amp;f=geojson</x:v>
      </x:c>
      <x:c r="G117" s="32" t="str">
        <x:v>KOTANLI 1-2</x:v>
      </x:c>
      <x:c r="H117" s="32" t="str">
        <x:v>ARDAHAN</x:v>
      </x:c>
      <x:c r="I117" s="36"/>
      <x:c r="J117" s="36"/>
      <x:c r="K117" s="38" t="n">
        <x:v>1723</x:v>
      </x:c>
      <x:c r="L117" s="38" t="n">
        <x:v>1710</x:v>
      </x:c>
      <x:c r="M117" s="32" t="str">
        <x:v>ARDAHAN AKINCI HES</x:v>
      </x:c>
      <x:c r="N117" s="38" t="n">
        <x:v>125.16</x:v>
      </x:c>
      <x:c r="O117" s="38"/>
      <x:c r="P117" s="38"/>
      <x:c r="Q117" s="38"/>
      <x:c r="R117" s="38"/>
      <x:c r="S117" s="38"/>
      <x:c r="T117" s="40"/>
      <x:c r="U117" s="32" t="str">
        <x:v>eşleşme yok</x:v>
      </x:c>
      <x:c r="V117" s="32" t="str">
        <x:v>C</x:v>
      </x:c>
      <x:c r="W117" s="32" t="str">
        <x:v>https://webdosya.csb.gov.tr/db/ced/icerikler/ardahan_-cdr-2024-20250917092626.pdf</x:v>
      </x:c>
      <x:c r="X117" s="32" t="str">
        <x:v>https://webdosya.csb.gov.tr/db/ced/icerikler/ardahan_-cdr-2024-20250917092626.pdf</x:v>
      </x:c>
      <x:c r="Y117" s="32"/>
      <x:c r="Z117" s="32" t="str">
        <x:v>ARDAHAN AKINCI HES</x:v>
      </x:c>
      <x:c r="AA117" s="101" t="str">
        <x:v>EPİAŞ su göstergesi eşleşmesi bulunamadı; Koordinat güvenilir açık kaynaktan doğrulanamadı; Kurulu güç bulunamadı; Eksik kurulu güç/il bilgisi kamuya açık web kaynağıyla tamamlandı; Ünite debisi doğrulanamadı; Maksimum/minimum hacim doğrulanamadı</x:v>
      </x:c>
    </x:row>
    <x:row r="118" ht="30" customHeight="1">
      <x:c r="A118" s="100" t="n">
        <x:v>115</x:v>
      </x:c>
      <x:c r="B118" s="32" t="str">
        <x:v>KOYULHİSAR BEREKET HES</x:v>
      </x:c>
      <x:c r="C118" s="32" t="str">
        <x:v>Yeşilırmak</x:v>
      </x:c>
      <x:c r="D118" s="32" t="str">
        <x:v>Yeşilırmak</x:v>
      </x:c>
      <x:c r="E118" s="34" t="n">
        <x:v>14</x:v>
      </x:c>
      <x:c r="F118" s="32" t="str">
        <x:v>https://cbs1.tarimorman.gov.tr/server/rest/services/TATUS/FeatureServer/11/query?where=ID%3D14&amp;outFields=ID%2CHAVZA_ADI%2CALAN_KM2&amp;returnGeometry=true&amp;outSR=4326&amp;f=geojson</x:v>
      </x:c>
      <x:c r="G118" s="32" t="str">
        <x:v>KOYULHİSAR BEREKET</x:v>
      </x:c>
      <x:c r="H118" s="32" t="str">
        <x:v>SİVAS</x:v>
      </x:c>
      <x:c r="I118" s="36"/>
      <x:c r="J118" s="36"/>
      <x:c r="K118" s="38" t="n">
        <x:v>724</x:v>
      </x:c>
      <x:c r="L118" s="38" t="n">
        <x:v>721</x:v>
      </x:c>
      <x:c r="M118" s="32"/>
      <x:c r="N118" s="38" t="n">
        <x:v>63</x:v>
      </x:c>
      <x:c r="O118" s="38"/>
      <x:c r="P118" s="38"/>
      <x:c r="Q118" s="38"/>
      <x:c r="R118" s="38"/>
      <x:c r="S118" s="38"/>
      <x:c r="T118" s="40"/>
      <x:c r="U118" s="32" t="str">
        <x:v>eşleşme yok</x:v>
      </x:c>
      <x:c r="V118" s="32" t="str">
        <x:v>C</x:v>
      </x:c>
      <x:c r="W118" s="32" t="str">
        <x:v>https://news-content.foreks.com/attachments/kap/4028328d9c81f589019cb50969282455.pdf</x:v>
      </x:c>
      <x:c r="X118" s="32" t="str">
        <x:v>https://openinframap.org/stats/area/Turkey/plants?source=hydro</x:v>
      </x:c>
      <x:c r="Y118" s="32"/>
      <x:c r="Z118" s="32" t="str">
        <x:v>10</x:v>
      </x:c>
      <x:c r="AA118" s="101" t="str">
        <x:v>EPİAŞ su göstergesi eşleşmesi bulunamadı; Kaskat alanında kaynak değeri '10' (belirsiz/sentinel); Koordinat güvenilir açık kaynaktan doğrulanamadı; Ünite debisi doğrulanamadı; Maksimum/minimum hacim doğrulanamadı</x:v>
      </x:c>
    </x:row>
    <x:row r="119" ht="30" customHeight="1">
      <x:c r="A119" s="100" t="n">
        <x:v>116</x:v>
      </x:c>
      <x:c r="B119" s="32" t="str">
        <x:v>KOZAN HES</x:v>
      </x:c>
      <x:c r="C119" s="32" t="str">
        <x:v>Ceyhan</x:v>
      </x:c>
      <x:c r="D119" s="32" t="str">
        <x:v>Ceyhan</x:v>
      </x:c>
      <x:c r="E119" s="34" t="n">
        <x:v>20</x:v>
      </x:c>
      <x:c r="F119" s="32" t="str">
        <x:v>https://cbs1.tarimorman.gov.tr/server/rest/services/TATUS/FeatureServer/11/query?where=ID%3D20&amp;outFields=ID%2CHAVZA_ADI%2CALAN_KM2&amp;returnGeometry=true&amp;outSR=4326&amp;f=geojson</x:v>
      </x:c>
      <x:c r="G119" s="32" t="str">
        <x:v>KOZAN</x:v>
      </x:c>
      <x:c r="H119" s="32" t="str">
        <x:v>ADANA</x:v>
      </x:c>
      <x:c r="I119" s="36"/>
      <x:c r="J119" s="36"/>
      <x:c r="K119" s="38" t="n">
        <x:v>274</x:v>
      </x:c>
      <x:c r="L119" s="38" t="n">
        <x:v>228</x:v>
      </x:c>
      <x:c r="M119" s="32"/>
      <x:c r="N119" s="38" t="n">
        <x:v>4.8</x:v>
      </x:c>
      <x:c r="O119" s="38" t="n">
        <x:v>8</x:v>
      </x:c>
      <x:c r="P119" s="38" t="n">
        <x:v>152.7</x:v>
      </x:c>
      <x:c r="Q119" s="38" t="n">
        <x:v>0.03</x:v>
      </x:c>
      <x:c r="R119" s="38" t="n">
        <x:v>104.37</x:v>
      </x:c>
      <x:c r="S119" s="38" t="n">
        <x:v>15.41</x:v>
      </x:c>
      <x:c r="T119" s="40" t="n">
        <x:v>46278.81434027778</x:v>
      </x:c>
      <x:c r="U119" s="32" t="str">
        <x:v>exact</x:v>
      </x:c>
      <x:c r="V119" s="32" t="str">
        <x:v>B</x:v>
      </x:c>
      <x:c r="W119" s="32" t="str">
        <x:v>Yüklü Debi_ve_Kurulu_Guc-13092026.xlsx</x:v>
      </x:c>
      <x:c r="X119" s="32" t="str">
        <x:v>Yüklü Debi_ve_Kurulu_Guc-13092026.xlsx</x:v>
      </x:c>
      <x:c r="Y119" s="32"/>
      <x:c r="Z119" s="32" t="str">
        <x:v>10</x:v>
      </x:c>
      <x:c r="AA119" s="101" t="str">
        <x:v>Kaskat alanında kaynak değeri '10' (belirsiz/sentinel); Koordinat güvenilir açık kaynaktan doğrulanamadı</x:v>
      </x:c>
    </x:row>
    <x:row r="120" ht="30" customHeight="1">
      <x:c r="A120" s="100" t="n">
        <x:v>117</x:v>
      </x:c>
      <x:c r="B120" s="32" t="str">
        <x:v>KOZBÜKÜ HES</x:v>
      </x:c>
      <x:c r="C120" s="32" t="str">
        <x:v>Doğu Karadeniz</x:v>
      </x:c>
      <x:c r="D120" s="32" t="str">
        <x:v>Doğu Karadeniz</x:v>
      </x:c>
      <x:c r="E120" s="34" t="n">
        <x:v>22</x:v>
      </x:c>
      <x:c r="F120" s="32" t="str">
        <x:v>https://cbs1.tarimorman.gov.tr/server/rest/services/TATUS/FeatureServer/11/query?where=ID%3D22&amp;outFields=ID%2CHAVZA_ADI%2CALAN_KM2&amp;returnGeometry=true&amp;outSR=4326&amp;f=geojson</x:v>
      </x:c>
      <x:c r="G120" s="32" t="str">
        <x:v>KOZBÜKÜ</x:v>
      </x:c>
      <x:c r="H120" s="32" t="str">
        <x:v>ORDU</x:v>
      </x:c>
      <x:c r="I120" s="36"/>
      <x:c r="J120" s="36"/>
      <x:c r="K120" s="38" t="n">
        <x:v>327</x:v>
      </x:c>
      <x:c r="L120" s="38" t="n">
        <x:v>318</x:v>
      </x:c>
      <x:c r="M120" s="32"/>
      <x:c r="N120" s="38" t="n">
        <x:v>81</x:v>
      </x:c>
      <x:c r="O120" s="38"/>
      <x:c r="P120" s="38"/>
      <x:c r="Q120" s="38"/>
      <x:c r="R120" s="38"/>
      <x:c r="S120" s="38"/>
      <x:c r="T120" s="40"/>
      <x:c r="U120" s="32" t="str">
        <x:v>eşleşme yok</x:v>
      </x:c>
      <x:c r="V120" s="32" t="str">
        <x:v>C</x:v>
      </x:c>
      <x:c r="W120" s="32" t="str">
        <x:v>https://www.enerjiatlasi.com/hidroelektrik/?v=1.0.24</x:v>
      </x:c>
      <x:c r="X120" s="32" t="str">
        <x:v>https://openinframap.org/stats/area/Turkey/plants?source=hydro</x:v>
      </x:c>
      <x:c r="Y120" s="32"/>
      <x:c r="Z120" s="32" t="str">
        <x:v>10</x:v>
      </x:c>
      <x:c r="AA120" s="101" t="str">
        <x:v>EPİAŞ su göstergesi eşleşmesi bulunamadı; Kaskat alanında kaynak değeri '10' (belirsiz/sentinel); Koordinat güvenilir açık kaynaktan doğrulanamadı; Ünite debisi doğrulanamadı; Maksimum/minimum hacim doğrulanamadı</x:v>
      </x:c>
    </x:row>
    <x:row r="121" ht="30" customHeight="1">
      <x:c r="A121" s="100" t="n">
        <x:v>118</x:v>
      </x:c>
      <x:c r="B121" s="32" t="str">
        <x:v>KÖKLÜCE HES</x:v>
      </x:c>
      <x:c r="C121" s="32" t="str">
        <x:v>Yeşilırmak</x:v>
      </x:c>
      <x:c r="D121" s="32" t="str">
        <x:v>Yeşilırmak</x:v>
      </x:c>
      <x:c r="E121" s="34" t="n">
        <x:v>14</x:v>
      </x:c>
      <x:c r="F121" s="32" t="str">
        <x:v>https://cbs1.tarimorman.gov.tr/server/rest/services/TATUS/FeatureServer/11/query?where=ID%3D14&amp;outFields=ID%2CHAVZA_ADI%2CALAN_KM2&amp;returnGeometry=true&amp;outSR=4326&amp;f=geojson</x:v>
      </x:c>
      <x:c r="G121" s="32" t="str">
        <x:v>ATAKÖY</x:v>
      </x:c>
      <x:c r="H121" s="32" t="str">
        <x:v>TOKAT</x:v>
      </x:c>
      <x:c r="I121" s="36" t="n">
        <x:v>40.42512</x:v>
      </x:c>
      <x:c r="J121" s="36" t="n">
        <x:v>36.88133</x:v>
      </x:c>
      <x:c r="K121" s="38" t="n">
        <x:v>733.5</x:v>
      </x:c>
      <x:c r="L121" s="38" t="n">
        <x:v>729.75</x:v>
      </x:c>
      <x:c r="M121" s="32"/>
      <x:c r="N121" s="38" t="n">
        <x:v>5.5</x:v>
      </x:c>
      <x:c r="O121" s="38" t="n">
        <x:v>27.1</x:v>
      </x:c>
      <x:c r="P121" s="38" t="n">
        <x:v>1.93</x:v>
      </x:c>
      <x:c r="Q121" s="38" t="n">
        <x:v>0.82</x:v>
      </x:c>
      <x:c r="R121" s="38" t="n">
        <x:v>1.06</x:v>
      </x:c>
      <x:c r="S121" s="38" t="n">
        <x:v>0.04</x:v>
      </x:c>
      <x:c r="T121" s="40" t="n">
        <x:v>46278.81434027778</x:v>
      </x:c>
      <x:c r="U121" s="32" t="str">
        <x:v>alias</x:v>
      </x:c>
      <x:c r="V121" s="32" t="str">
        <x:v>A</x:v>
      </x:c>
      <x:c r="W121" s="32" t="str">
        <x:v>Yüklü Debi_ve_Kurulu_Guc-13092026.xlsx</x:v>
      </x:c>
      <x:c r="X121" s="32" t="str">
        <x:v>Yüklü Debi_ve_Kurulu_Guc-13092026.xlsx</x:v>
      </x:c>
      <x:c r="Y121" s="32" t="str">
        <x:v>https://cbs1.tarimorman.gov.tr/server/rest/services/TATUS/FeatureServer/7</x:v>
      </x:c>
      <x:c r="Z121" s="32" t="str">
        <x:v>10</x:v>
      </x:c>
      <x:c r="AA121" s="101" t="str">
        <x:v>Baraj adı eşleşmesi: ATAKÖY; Kaskat alanında kaynak değeri '10' (belirsiz/sentinel)</x:v>
      </x:c>
    </x:row>
    <x:row r="122" ht="30" customHeight="1">
      <x:c r="A122" s="100" t="n">
        <x:v>119</x:v>
      </x:c>
      <x:c r="B122" s="32" t="str">
        <x:v>KÖPRÜBAŞI HES (BOLU)</x:v>
      </x:c>
      <x:c r="C122" s="32" t="str">
        <x:v>Batı Karadeniz</x:v>
      </x:c>
      <x:c r="D122" s="32" t="str">
        <x:v>Batı Karadeniz</x:v>
      </x:c>
      <x:c r="E122" s="34" t="n">
        <x:v>13</x:v>
      </x:c>
      <x:c r="F122" s="32" t="str">
        <x:v>https://cbs1.tarimorman.gov.tr/server/rest/services/TATUS/FeatureServer/11/query?where=ID%3D13&amp;outFields=ID%2CHAVZA_ADI%2CALAN_KM2&amp;returnGeometry=true&amp;outSR=4326&amp;f=geojson</x:v>
      </x:c>
      <x:c r="G122" s="32" t="str">
        <x:v>KÖPRÜBAŞI</x:v>
      </x:c>
      <x:c r="H122" s="32" t="str">
        <x:v>BOLU</x:v>
      </x:c>
      <x:c r="I122" s="36"/>
      <x:c r="J122" s="36"/>
      <x:c r="K122" s="38" t="n">
        <x:v>445</x:v>
      </x:c>
      <x:c r="L122" s="38" t="n">
        <x:v>400</x:v>
      </x:c>
      <x:c r="M122" s="32"/>
      <x:c r="N122" s="38" t="n">
        <x:v>74</x:v>
      </x:c>
      <x:c r="O122" s="38" t="n">
        <x:v>43</x:v>
      </x:c>
      <x:c r="P122" s="38" t="n">
        <x:v>244.94</x:v>
      </x:c>
      <x:c r="Q122" s="38" t="n">
        <x:v>56.34</x:v>
      </x:c>
      <x:c r="R122" s="38" t="n">
        <x:v>116.28</x:v>
      </x:c>
      <x:c r="S122" s="38" t="n">
        <x:v>61.46</x:v>
      </x:c>
      <x:c r="T122" s="40" t="n">
        <x:v>46278.81434027778</x:v>
      </x:c>
      <x:c r="U122" s="32" t="str">
        <x:v>alias</x:v>
      </x:c>
      <x:c r="V122" s="32" t="str">
        <x:v>B</x:v>
      </x:c>
      <x:c r="W122" s="32" t="str">
        <x:v>Yüklü Debi_ve_Kurulu_Guc-13092026.xlsx</x:v>
      </x:c>
      <x:c r="X122" s="32" t="str">
        <x:v>Yüklü Debi_ve_Kurulu_Guc-13092026.xlsx</x:v>
      </x:c>
      <x:c r="Y122" s="32"/>
      <x:c r="Z122" s="32" t="str">
        <x:v>10</x:v>
      </x:c>
      <x:c r="AA122" s="101" t="str">
        <x:v>Baraj adı eşleşmesi: KÖPRÜBAŞI; Kaskat alanında kaynak değeri '10' (belirsiz/sentinel); Koordinat güvenilir açık kaynaktan doğrulanamadı</x:v>
      </x:c>
    </x:row>
    <x:row r="123" ht="30" customHeight="1">
      <x:c r="A123" s="100" t="n">
        <x:v>120</x:v>
      </x:c>
      <x:c r="B123" s="32" t="str">
        <x:v>KÖPRÜ HES</x:v>
      </x:c>
      <x:c r="C123" s="32" t="str">
        <x:v>Seyhan</x:v>
      </x:c>
      <x:c r="D123" s="32" t="str">
        <x:v>Seyhan</x:v>
      </x:c>
      <x:c r="E123" s="34" t="n">
        <x:v>18</x:v>
      </x:c>
      <x:c r="F123" s="32" t="str">
        <x:v>https://cbs1.tarimorman.gov.tr/server/rest/services/TATUS/FeatureServer/11/query?where=ID%3D18&amp;outFields=ID%2CHAVZA_ADI%2CALAN_KM2&amp;returnGeometry=true&amp;outSR=4326&amp;f=geojson</x:v>
      </x:c>
      <x:c r="G123" s="32" t="str">
        <x:v>KÖPRÜ</x:v>
      </x:c>
      <x:c r="H123" s="32" t="str">
        <x:v>ADANA</x:v>
      </x:c>
      <x:c r="I123" s="36" t="n">
        <x:v>37.6202</x:v>
      </x:c>
      <x:c r="J123" s="36" t="n">
        <x:v>35.613631</x:v>
      </x:c>
      <x:c r="K123" s="38" t="n">
        <x:v>410</x:v>
      </x:c>
      <x:c r="L123" s="38" t="n">
        <x:v>390</x:v>
      </x:c>
      <x:c r="M123" s="32" t="str">
        <x:v>KAVŞAKBENDİ HES</x:v>
      </x:c>
      <x:c r="N123" s="38" t="n">
        <x:v>155.8</x:v>
      </x:c>
      <x:c r="O123" s="38" t="n">
        <x:v>190</x:v>
      </x:c>
      <x:c r="P123" s="38" t="n">
        <x:v>93.19</x:v>
      </x:c>
      <x:c r="Q123" s="38" t="n">
        <x:v>45.95</x:v>
      </x:c>
      <x:c r="R123" s="38" t="n">
        <x:v>34.25</x:v>
      </x:c>
      <x:c r="S123" s="38" t="n">
        <x:v>7.71</x:v>
      </x:c>
      <x:c r="T123" s="40" t="n">
        <x:v>46278.81434027778</x:v>
      </x:c>
      <x:c r="U123" s="32" t="str">
        <x:v>exact</x:v>
      </x:c>
      <x:c r="V123" s="32" t="str">
        <x:v>A</x:v>
      </x:c>
      <x:c r="W123" s="32" t="str">
        <x:v>Yüklü Debi_ve_Kurulu_Guc-13092026.xlsx</x:v>
      </x:c>
      <x:c r="X123" s="32" t="str">
        <x:v>Yüklü Debi_ve_Kurulu_Guc-13092026.xlsx</x:v>
      </x:c>
      <x:c r="Y123" s="32" t="str">
        <x:v>https://turkiyebarajlar.com/baraj/kopru</x:v>
      </x:c>
      <x:c r="Z123" s="32" t="str">
        <x:v>KAVŞAKBENDİ HES</x:v>
      </x:c>
      <x:c r="AA123" s="101" t="str"/>
    </x:row>
    <x:row r="124" ht="30" customHeight="1">
      <x:c r="A124" s="100" t="n">
        <x:v>121</x:v>
      </x:c>
      <x:c r="B124" s="32" t="str">
        <x:v>KRALKIZI HES</x:v>
      </x:c>
      <x:c r="C124" s="32" t="str">
        <x:v>Fırat Dicle</x:v>
      </x:c>
      <x:c r="D124" s="32" t="str">
        <x:v>Fırat-Dicle</x:v>
      </x:c>
      <x:c r="E124" s="34" t="n">
        <x:v>21</x:v>
      </x:c>
      <x:c r="F124" s="32" t="str">
        <x:v>https://cbs1.tarimorman.gov.tr/server/rest/services/TATUS/FeatureServer/11/query?where=ID%3D21&amp;outFields=ID%2CHAVZA_ADI%2CALAN_KM2&amp;returnGeometry=true&amp;outSR=4326&amp;f=geojson</x:v>
      </x:c>
      <x:c r="G124" s="32" t="str">
        <x:v>KRALKIZI</x:v>
      </x:c>
      <x:c r="H124" s="32" t="str">
        <x:v>DİYARBAKIR</x:v>
      </x:c>
      <x:c r="I124" s="36"/>
      <x:c r="J124" s="36"/>
      <x:c r="K124" s="38" t="n">
        <x:v>815.75</x:v>
      </x:c>
      <x:c r="L124" s="38" t="n">
        <x:v>765</x:v>
      </x:c>
      <x:c r="M124" s="32" t="str">
        <x:v>DİCLE HES</x:v>
      </x:c>
      <x:c r="N124" s="38" t="n">
        <x:v>94</x:v>
      </x:c>
      <x:c r="O124" s="38"/>
      <x:c r="P124" s="38"/>
      <x:c r="Q124" s="38"/>
      <x:c r="R124" s="38"/>
      <x:c r="S124" s="38"/>
      <x:c r="T124" s="40"/>
      <x:c r="U124" s="32" t="str">
        <x:v>eşleşme yok</x:v>
      </x:c>
      <x:c r="V124" s="32" t="str">
        <x:v>C</x:v>
      </x:c>
      <x:c r="W124" s="32" t="str">
        <x:v>https://openinframap.org/stats/area/Turkey/plants?source=hydro</x:v>
      </x:c>
      <x:c r="X124" s="32" t="str">
        <x:v>https://openinframap.org/stats/area/Turkey/plants?source=hydro</x:v>
      </x:c>
      <x:c r="Y124" s="32"/>
      <x:c r="Z124" s="32" t="str">
        <x:v>DİCLE HES</x:v>
      </x:c>
      <x:c r="AA124" s="101" t="str">
        <x:v>EPİAŞ su göstergesi eşleşmesi bulunamadı; Koordinat güvenilir açık kaynaktan doğrulanamadı; Ünite debisi doğrulanamadı; Maksimum/minimum hacim doğrulanamadı</x:v>
      </x:c>
    </x:row>
    <x:row r="125" ht="30" customHeight="1">
      <x:c r="A125" s="100" t="n">
        <x:v>122</x:v>
      </x:c>
      <x:c r="B125" s="32" t="str">
        <x:v>KUZGUN HES</x:v>
      </x:c>
      <x:c r="C125" s="32" t="str">
        <x:v>Fırat Dicle</x:v>
      </x:c>
      <x:c r="D125" s="32" t="str">
        <x:v>Fırat-Dicle</x:v>
      </x:c>
      <x:c r="E125" s="34" t="n">
        <x:v>21</x:v>
      </x:c>
      <x:c r="F125" s="32" t="str">
        <x:v>https://cbs1.tarimorman.gov.tr/server/rest/services/TATUS/FeatureServer/11/query?where=ID%3D21&amp;outFields=ID%2CHAVZA_ADI%2CALAN_KM2&amp;returnGeometry=true&amp;outSR=4326&amp;f=geojson</x:v>
      </x:c>
      <x:c r="G125" s="32" t="str">
        <x:v>KUZGUN</x:v>
      </x:c>
      <x:c r="H125" s="32" t="str">
        <x:v>ERZURUM</x:v>
      </x:c>
      <x:c r="I125" s="36"/>
      <x:c r="J125" s="36"/>
      <x:c r="K125" s="38" t="n">
        <x:v>2109</x:v>
      </x:c>
      <x:c r="L125" s="38" t="n">
        <x:v>2075</x:v>
      </x:c>
      <x:c r="M125" s="32"/>
      <x:c r="N125" s="38" t="n">
        <x:v>20.9</x:v>
      </x:c>
      <x:c r="O125" s="38"/>
      <x:c r="P125" s="38"/>
      <x:c r="Q125" s="38"/>
      <x:c r="R125" s="38"/>
      <x:c r="S125" s="38"/>
      <x:c r="T125" s="40"/>
      <x:c r="U125" s="32" t="str">
        <x:v>eşleşme yok</x:v>
      </x:c>
      <x:c r="V125" s="32" t="str">
        <x:v>C</x:v>
      </x:c>
      <x:c r="W125" s="32" t="str">
        <x:v>https://www.enerjiatlasi.com/hidroelektrik/?v=1.0.24</x:v>
      </x:c>
      <x:c r="X125" s="32" t="str">
        <x:v>https://openinframap.org/stats/area/Turkey/plants?source=hydro</x:v>
      </x:c>
      <x:c r="Y125" s="32"/>
      <x:c r="Z125" s="32" t="str">
        <x:v>10</x:v>
      </x:c>
      <x:c r="AA125" s="101" t="str">
        <x:v>EPİAŞ su göstergesi eşleşmesi bulunamadı; Kaskat alanında kaynak değeri '10' (belirsiz/sentinel); Koordinat güvenilir açık kaynaktan doğrulanamadı; Ünite debisi doğrulanamadı; Maksimum/minimum hacim doğrulanamadı</x:v>
      </x:c>
    </x:row>
    <x:row r="126" ht="30" customHeight="1">
      <x:c r="A126" s="100" t="n">
        <x:v>123</x:v>
      </x:c>
      <x:c r="B126" s="32" t="str">
        <x:v>KÜRTÜN HES</x:v>
      </x:c>
      <x:c r="C126" s="32" t="str">
        <x:v>Doğu Karadeniz</x:v>
      </x:c>
      <x:c r="D126" s="32" t="str">
        <x:v>Doğu Karadeniz</x:v>
      </x:c>
      <x:c r="E126" s="34" t="n">
        <x:v>22</x:v>
      </x:c>
      <x:c r="F126" s="32" t="str">
        <x:v>https://cbs1.tarimorman.gov.tr/server/rest/services/TATUS/FeatureServer/11/query?where=ID%3D22&amp;outFields=ID%2CHAVZA_ADI%2CALAN_KM2&amp;returnGeometry=true&amp;outSR=4326&amp;f=geojson</x:v>
      </x:c>
      <x:c r="G126" s="32" t="str">
        <x:v>KÜRTÜN</x:v>
      </x:c>
      <x:c r="H126" s="32" t="str">
        <x:v>GÜMÜŞHANE</x:v>
      </x:c>
      <x:c r="I126" s="36"/>
      <x:c r="J126" s="36"/>
      <x:c r="K126" s="38" t="n">
        <x:v>640.5</x:v>
      </x:c>
      <x:c r="L126" s="38" t="n">
        <x:v>610</x:v>
      </x:c>
      <x:c r="M126" s="32"/>
      <x:c r="N126" s="38" t="n">
        <x:v>80</x:v>
      </x:c>
      <x:c r="O126" s="38" t="n">
        <x:v>104.5</x:v>
      </x:c>
      <x:c r="P126" s="38" t="n">
        <x:v>83.75</x:v>
      </x:c>
      <x:c r="Q126" s="38" t="n">
        <x:v>30.58</x:v>
      </x:c>
      <x:c r="R126" s="38" t="n">
        <x:v>34.37</x:v>
      </x:c>
      <x:c r="S126" s="38" t="n">
        <x:v>7.79</x:v>
      </x:c>
      <x:c r="T126" s="40" t="n">
        <x:v>46278.81434027778</x:v>
      </x:c>
      <x:c r="U126" s="32" t="str">
        <x:v>exact</x:v>
      </x:c>
      <x:c r="V126" s="32" t="str">
        <x:v>B</x:v>
      </x:c>
      <x:c r="W126" s="32" t="str">
        <x:v>Yüklü Debi_ve_Kurulu_Guc-13092026.xlsx</x:v>
      </x:c>
      <x:c r="X126" s="32" t="str">
        <x:v>Yüklü Debi_ve_Kurulu_Guc-13092026.xlsx</x:v>
      </x:c>
      <x:c r="Y126" s="32"/>
      <x:c r="Z126" s="32" t="str">
        <x:v>10</x:v>
      </x:c>
      <x:c r="AA126" s="101" t="str">
        <x:v>Kaskat alanında kaynak değeri '10' (belirsiz/sentinel); Koordinat güvenilir açık kaynaktan doğrulanamadı</x:v>
      </x:c>
    </x:row>
    <x:row r="127" ht="30" customHeight="1">
      <x:c r="A127" s="100" t="n">
        <x:v>124</x:v>
      </x:c>
      <x:c r="B127" s="32" t="str">
        <x:v>MANAVGAT HES</x:v>
      </x:c>
      <x:c r="C127" s="32" t="str">
        <x:v>Orta Akdeniz</x:v>
      </x:c>
      <x:c r="D127" s="32" t="str">
        <x:v>Antalya</x:v>
      </x:c>
      <x:c r="E127" s="34" t="n">
        <x:v>9</x:v>
      </x:c>
      <x:c r="F127" s="32" t="str">
        <x:v>https://cbs1.tarimorman.gov.tr/server/rest/services/TATUS/FeatureServer/11/query?where=ID%3D9&amp;outFields=ID%2CHAVZA_ADI%2CALAN_KM2&amp;returnGeometry=true&amp;outSR=4326&amp;f=geojson</x:v>
      </x:c>
      <x:c r="G127" s="32" t="str">
        <x:v>MANAVGAT</x:v>
      </x:c>
      <x:c r="H127" s="32" t="str">
        <x:v>ANTALYA</x:v>
      </x:c>
      <x:c r="I127" s="36"/>
      <x:c r="J127" s="36"/>
      <x:c r="K127" s="38" t="n">
        <x:v>32.3</x:v>
      </x:c>
      <x:c r="L127" s="38" t="n">
        <x:v>20</x:v>
      </x:c>
      <x:c r="M127" s="32"/>
      <x:c r="N127" s="38" t="n">
        <x:v>48</x:v>
      </x:c>
      <x:c r="O127" s="38" t="n">
        <x:v>260</x:v>
      </x:c>
      <x:c r="P127" s="38" t="n">
        <x:v>86.8</x:v>
      </x:c>
      <x:c r="Q127" s="38" t="n">
        <x:v>12.3</x:v>
      </x:c>
      <x:c r="R127" s="38" t="n">
        <x:v>60.47</x:v>
      </x:c>
      <x:c r="S127" s="38" t="n">
        <x:v>2.93</x:v>
      </x:c>
      <x:c r="T127" s="40" t="n">
        <x:v>46278.81434027778</x:v>
      </x:c>
      <x:c r="U127" s="32" t="str">
        <x:v>exact</x:v>
      </x:c>
      <x:c r="V127" s="32" t="str">
        <x:v>B</x:v>
      </x:c>
      <x:c r="W127" s="32" t="str">
        <x:v>Yüklü Debi_ve_Kurulu_Guc-13092026.xlsx</x:v>
      </x:c>
      <x:c r="X127" s="32" t="str">
        <x:v>Yüklü Debi_ve_Kurulu_Guc-13092026.xlsx</x:v>
      </x:c>
      <x:c r="Y127" s="32"/>
      <x:c r="Z127" s="32" t="str">
        <x:v>10</x:v>
      </x:c>
      <x:c r="AA127" s="101" t="str">
        <x:v>Kaskat alanında kaynak değeri '10' (belirsiz/sentinel); Koordinat güvenilir açık kaynaktan doğrulanamadı</x:v>
      </x:c>
    </x:row>
    <x:row r="128" ht="30" customHeight="1">
      <x:c r="A128" s="100" t="n">
        <x:v>125</x:v>
      </x:c>
      <x:c r="B128" s="32" t="str">
        <x:v>MANYAS HES</x:v>
      </x:c>
      <x:c r="C128" s="32" t="str">
        <x:v>Susurluk</x:v>
      </x:c>
      <x:c r="D128" s="32" t="str">
        <x:v>Susurluk</x:v>
      </x:c>
      <x:c r="E128" s="34" t="n">
        <x:v>3</x:v>
      </x:c>
      <x:c r="F128" s="32" t="str">
        <x:v>https://cbs1.tarimorman.gov.tr/server/rest/services/TATUS/FeatureServer/11/query?where=ID%3D3&amp;outFields=ID%2CHAVZA_ADI%2CALAN_KM2&amp;returnGeometry=true&amp;outSR=4326&amp;f=geojson</x:v>
      </x:c>
      <x:c r="G128" s="32" t="str">
        <x:v>MANYAS</x:v>
      </x:c>
      <x:c r="H128" s="32" t="str">
        <x:v>BALIKESİR</x:v>
      </x:c>
      <x:c r="I128" s="36"/>
      <x:c r="J128" s="36"/>
      <x:c r="K128" s="38" t="n">
        <x:v>120</x:v>
      </x:c>
      <x:c r="L128" s="38" t="n">
        <x:v>85</x:v>
      </x:c>
      <x:c r="M128" s="32"/>
      <x:c r="N128" s="38" t="n">
        <x:v>19</x:v>
      </x:c>
      <x:c r="O128" s="38" t="n">
        <x:v>42</x:v>
      </x:c>
      <x:c r="P128" s="38" t="n">
        <x:v>423.39</x:v>
      </x:c>
      <x:c r="Q128" s="38" t="n">
        <x:v>62.39</x:v>
      </x:c>
      <x:c r="R128" s="38" t="n">
        <x:v>195.69</x:v>
      </x:c>
      <x:c r="S128" s="38" t="n">
        <x:v>31.04</x:v>
      </x:c>
      <x:c r="T128" s="40" t="n">
        <x:v>46278.81434027778</x:v>
      </x:c>
      <x:c r="U128" s="32" t="str">
        <x:v>exact</x:v>
      </x:c>
      <x:c r="V128" s="32" t="str">
        <x:v>B</x:v>
      </x:c>
      <x:c r="W128" s="32" t="str">
        <x:v>Yüklü Debi_ve_Kurulu_Guc-13092026.xlsx</x:v>
      </x:c>
      <x:c r="X128" s="32" t="str">
        <x:v>Yüklü Debi_ve_Kurulu_Guc-13092026.xlsx</x:v>
      </x:c>
      <x:c r="Y128" s="32"/>
      <x:c r="Z128" s="32" t="str">
        <x:v>10</x:v>
      </x:c>
      <x:c r="AA128" s="101" t="str">
        <x:v>Kaskat alanında kaynak değeri '10' (belirsiz/sentinel); Koordinat güvenilir açık kaynaktan doğrulanamadı</x:v>
      </x:c>
    </x:row>
    <x:row r="129" ht="30" customHeight="1">
      <x:c r="A129" s="100" t="n">
        <x:v>126</x:v>
      </x:c>
      <x:c r="B129" s="32" t="str">
        <x:v>MENGE HES</x:v>
      </x:c>
      <x:c r="C129" s="32" t="str">
        <x:v>Seyhan</x:v>
      </x:c>
      <x:c r="D129" s="32" t="str">
        <x:v>Seyhan</x:v>
      </x:c>
      <x:c r="E129" s="34" t="n">
        <x:v>18</x:v>
      </x:c>
      <x:c r="F129" s="32" t="str">
        <x:v>https://cbs1.tarimorman.gov.tr/server/rest/services/TATUS/FeatureServer/11/query?where=ID%3D18&amp;outFields=ID%2CHAVZA_ADI%2CALAN_KM2&amp;returnGeometry=true&amp;outSR=4326&amp;f=geojson</x:v>
      </x:c>
      <x:c r="G129" s="32" t="str">
        <x:v>MENGE HES</x:v>
      </x:c>
      <x:c r="H129" s="32" t="str">
        <x:v>ADANA</x:v>
      </x:c>
      <x:c r="I129" s="36" t="n">
        <x:v>37.7097</x:v>
      </x:c>
      <x:c r="J129" s="36" t="n">
        <x:v>35.7348</x:v>
      </x:c>
      <x:c r="K129" s="38" t="n">
        <x:v>480</x:v>
      </x:c>
      <x:c r="L129" s="38" t="n">
        <x:v>470</x:v>
      </x:c>
      <x:c r="M129" s="32" t="str">
        <x:v>KÖPRÜ HES</x:v>
      </x:c>
      <x:c r="N129" s="38" t="n">
        <x:v>86.8</x:v>
      </x:c>
      <x:c r="O129" s="38" t="n">
        <x:v>180</x:v>
      </x:c>
      <x:c r="P129" s="38" t="n">
        <x:v>45.11</x:v>
      </x:c>
      <x:c r="Q129" s="38" t="n">
        <x:v>22.42</x:v>
      </x:c>
      <x:c r="R129" s="38" t="n">
        <x:v>13.77</x:v>
      </x:c>
      <x:c r="S129" s="38" t="n">
        <x:v>1.93</x:v>
      </x:c>
      <x:c r="T129" s="40" t="n">
        <x:v>46278.81434027778</x:v>
      </x:c>
      <x:c r="U129" s="32" t="str">
        <x:v>exact</x:v>
      </x:c>
      <x:c r="V129" s="32" t="str">
        <x:v>A</x:v>
      </x:c>
      <x:c r="W129" s="32" t="str">
        <x:v>Yüklü Debi_ve_Kurulu_Guc-13092026.xlsx</x:v>
      </x:c>
      <x:c r="X129" s="32" t="str">
        <x:v>Yüklü Debi_ve_Kurulu_Guc-13092026.xlsx</x:v>
      </x:c>
      <x:c r="Y129" s="32" t="str">
        <x:v>https://cbs1.tarimorman.gov.tr/server/rest/services/TATUS/FeatureServer/7</x:v>
      </x:c>
      <x:c r="Z129" s="32" t="str">
        <x:v>KÖPRÜ HES</x:v>
      </x:c>
      <x:c r="AA129" s="101" t="str"/>
    </x:row>
    <x:row r="130" ht="30" customHeight="1">
      <x:c r="A130" s="100" t="n">
        <x:v>127</x:v>
      </x:c>
      <x:c r="B130" s="32" t="str">
        <x:v>MENZELET HES</x:v>
      </x:c>
      <x:c r="C130" s="32" t="str">
        <x:v>Ceyhan</x:v>
      </x:c>
      <x:c r="D130" s="32" t="str">
        <x:v>Ceyhan</x:v>
      </x:c>
      <x:c r="E130" s="34" t="n">
        <x:v>20</x:v>
      </x:c>
      <x:c r="F130" s="32" t="str">
        <x:v>https://cbs1.tarimorman.gov.tr/server/rest/services/TATUS/FeatureServer/11/query?where=ID%3D20&amp;outFields=ID%2CHAVZA_ADI%2CALAN_KM2&amp;returnGeometry=true&amp;outSR=4326&amp;f=geojson</x:v>
      </x:c>
      <x:c r="G130" s="32" t="str">
        <x:v>MENZELET</x:v>
      </x:c>
      <x:c r="H130" s="32" t="str">
        <x:v>KAHRAMANMARAŞ</x:v>
      </x:c>
      <x:c r="I130" s="36" t="n">
        <x:v>37.6765</x:v>
      </x:c>
      <x:c r="J130" s="36" t="n">
        <x:v>36.8504</x:v>
      </x:c>
      <x:c r="K130" s="38" t="n">
        <x:v>609.4</x:v>
      </x:c>
      <x:c r="L130" s="38" t="n">
        <x:v>560.2</x:v>
      </x:c>
      <x:c r="M130" s="32" t="str">
        <x:v>KILAVUZLU HES</x:v>
      </x:c>
      <x:c r="N130" s="38" t="n">
        <x:v>124</x:v>
      </x:c>
      <x:c r="O130" s="38" t="n">
        <x:v>130</x:v>
      </x:c>
      <x:c r="P130" s="38" t="n">
        <x:v>1974.5</x:v>
      </x:c>
      <x:c r="Q130" s="38" t="n">
        <x:v>533.9</x:v>
      </x:c>
      <x:c r="R130" s="38" t="n">
        <x:v>1152.88</x:v>
      </x:c>
      <x:c r="S130" s="38" t="n">
        <x:v>328.83</x:v>
      </x:c>
      <x:c r="T130" s="40" t="n">
        <x:v>46278.81434027778</x:v>
      </x:c>
      <x:c r="U130" s="32" t="str">
        <x:v>exact</x:v>
      </x:c>
      <x:c r="V130" s="32" t="str">
        <x:v>A</x:v>
      </x:c>
      <x:c r="W130" s="32" t="str">
        <x:v>Yüklü Debi_ve_Kurulu_Guc-13092026.xlsx</x:v>
      </x:c>
      <x:c r="X130" s="32" t="str">
        <x:v>Yüklü Debi_ve_Kurulu_Guc-13092026.xlsx</x:v>
      </x:c>
      <x:c r="Y130" s="32" t="str">
        <x:v>https://cbs1.tarimorman.gov.tr/server/rest/services/TATUS/FeatureServer/7</x:v>
      </x:c>
      <x:c r="Z130" s="32" t="str">
        <x:v>KILAVUZLU HES</x:v>
      </x:c>
      <x:c r="AA130" s="101" t="str"/>
    </x:row>
    <x:row r="131" ht="30" customHeight="1">
      <x:c r="A131" s="100" t="n">
        <x:v>128</x:v>
      </x:c>
      <x:c r="B131" s="32" t="str">
        <x:v>MORGEDİK HES</x:v>
      </x:c>
      <x:c r="C131" s="32" t="str">
        <x:v>Van Gölü</x:v>
      </x:c>
      <x:c r="D131" s="32" t="str">
        <x:v>Van Gölü</x:v>
      </x:c>
      <x:c r="E131" s="34" t="n">
        <x:v>25</x:v>
      </x:c>
      <x:c r="F131" s="32" t="str">
        <x:v>https://cbs1.tarimorman.gov.tr/server/rest/services/TATUS/FeatureServer/11/query?where=ID%3D25&amp;outFields=ID%2CHAVZA_ADI%2CALAN_KM2&amp;returnGeometry=true&amp;outSR=4326&amp;f=geojson</x:v>
      </x:c>
      <x:c r="G131" s="32" t="str">
        <x:v>MORGEDİK</x:v>
      </x:c>
      <x:c r="H131" s="32" t="str">
        <x:v>VAN</x:v>
      </x:c>
      <x:c r="I131" s="36" t="n">
        <x:v>39.16211</x:v>
      </x:c>
      <x:c r="J131" s="36" t="n">
        <x:v>43.63663</x:v>
      </x:c>
      <x:c r="K131" s="38" t="n">
        <x:v>2227</x:v>
      </x:c>
      <x:c r="L131" s="38" t="n">
        <x:v>2205</x:v>
      </x:c>
      <x:c r="M131" s="32"/>
      <x:c r="N131" s="38" t="n">
        <x:v>10</x:v>
      </x:c>
      <x:c r="O131" s="38" t="n">
        <x:v>8.5</x:v>
      </x:c>
      <x:c r="P131" s="38" t="n">
        <x:v>102.5</x:v>
      </x:c>
      <x:c r="Q131" s="38" t="n">
        <x:v>2.8</x:v>
      </x:c>
      <x:c r="R131" s="38" t="n">
        <x:v>76.53</x:v>
      </x:c>
      <x:c r="S131" s="38" t="n">
        <x:v>9.88</x:v>
      </x:c>
      <x:c r="T131" s="40" t="n">
        <x:v>46278.81434027778</x:v>
      </x:c>
      <x:c r="U131" s="32" t="str">
        <x:v>exact</x:v>
      </x:c>
      <x:c r="V131" s="32" t="str">
        <x:v>A</x:v>
      </x:c>
      <x:c r="W131" s="32" t="str">
        <x:v>Yüklü Debi_ve_Kurulu_Guc-13092026.xlsx</x:v>
      </x:c>
      <x:c r="X131" s="32" t="str">
        <x:v>Yüklü Debi_ve_Kurulu_Guc-13092026.xlsx</x:v>
      </x:c>
      <x:c r="Y131" s="32" t="str">
        <x:v>https://cbs1.tarimorman.gov.tr/server/rest/services/TATUS/FeatureServer/7</x:v>
      </x:c>
      <x:c r="Z131" s="32" t="str">
        <x:v>10</x:v>
      </x:c>
      <x:c r="AA131" s="101" t="str">
        <x:v>Kaskat alanında kaynak değeri '10' (belirsiz/sentinel)</x:v>
      </x:c>
    </x:row>
    <x:row r="132" ht="30" customHeight="1">
      <x:c r="A132" s="100" t="n">
        <x:v>129</x:v>
      </x:c>
      <x:c r="B132" s="32" t="str">
        <x:v>MURATLI HES</x:v>
      </x:c>
      <x:c r="C132" s="32" t="str">
        <x:v>Çoruh</x:v>
      </x:c>
      <x:c r="D132" s="32" t="str">
        <x:v>Çoruh</x:v>
      </x:c>
      <x:c r="E132" s="34" t="n">
        <x:v>23</x:v>
      </x:c>
      <x:c r="F132" s="32" t="str">
        <x:v>https://cbs1.tarimorman.gov.tr/server/rest/services/TATUS/FeatureServer/11/query?where=ID%3D23&amp;outFields=ID%2CHAVZA_ADI%2CALAN_KM2&amp;returnGeometry=true&amp;outSR=4326&amp;f=geojson</x:v>
      </x:c>
      <x:c r="G132" s="32" t="str">
        <x:v>MURATLI</x:v>
      </x:c>
      <x:c r="H132" s="32" t="str">
        <x:v>ARTVİN</x:v>
      </x:c>
      <x:c r="I132" s="36"/>
      <x:c r="J132" s="36"/>
      <x:c r="K132" s="38" t="n">
        <x:v>96</x:v>
      </x:c>
      <x:c r="L132" s="38" t="n">
        <x:v>91</x:v>
      </x:c>
      <x:c r="M132" s="32"/>
      <x:c r="N132" s="38" t="n">
        <x:v>115</x:v>
      </x:c>
      <x:c r="O132" s="38"/>
      <x:c r="P132" s="38"/>
      <x:c r="Q132" s="38"/>
      <x:c r="R132" s="38"/>
      <x:c r="S132" s="38"/>
      <x:c r="T132" s="40"/>
      <x:c r="U132" s="32" t="str">
        <x:v>eşleşme yok</x:v>
      </x:c>
      <x:c r="V132" s="32" t="str">
        <x:v>C</x:v>
      </x:c>
      <x:c r="W132" s="32" t="str">
        <x:v>https://www.enerjiatlasi.com/hidroelektrik/?v=1.0.24</x:v>
      </x:c>
      <x:c r="X132" s="32" t="str">
        <x:v>https://openinframap.org/stats/area/Turkey/plants?source=hydro</x:v>
      </x:c>
      <x:c r="Y132" s="32"/>
      <x:c r="Z132" s="32" t="str">
        <x:v>10</x:v>
      </x:c>
      <x:c r="AA132" s="101" t="str">
        <x:v>EPİAŞ su göstergesi eşleşmesi bulunamadı; Kaskat alanında kaynak değeri '10' (belirsiz/sentinel); Koordinat güvenilir açık kaynaktan doğrulanamadı; Ünite debisi doğrulanamadı; Maksimum/minimum hacim doğrulanamadı</x:v>
      </x:c>
    </x:row>
    <x:row r="133" ht="30" customHeight="1">
      <x:c r="A133" s="100" t="n">
        <x:v>130</x:v>
      </x:c>
      <x:c r="B133" s="32" t="str">
        <x:v>MURSAL HES</x:v>
      </x:c>
      <x:c r="C133" s="32" t="str">
        <x:v>Fırat Dicle</x:v>
      </x:c>
      <x:c r="D133" s="32" t="str">
        <x:v>Fırat-Dicle</x:v>
      </x:c>
      <x:c r="E133" s="34" t="n">
        <x:v>21</x:v>
      </x:c>
      <x:c r="F133" s="32" t="str">
        <x:v>https://cbs1.tarimorman.gov.tr/server/rest/services/TATUS/FeatureServer/11/query?where=ID%3D21&amp;outFields=ID%2CHAVZA_ADI%2CALAN_KM2&amp;returnGeometry=true&amp;outSR=4326&amp;f=geojson</x:v>
      </x:c>
      <x:c r="G133" s="32" t="str">
        <x:v>MURSAL</x:v>
      </x:c>
      <x:c r="H133" s="32" t="str">
        <x:v>SİVAS</x:v>
      </x:c>
      <x:c r="I133" s="36"/>
      <x:c r="J133" s="36"/>
      <x:c r="K133" s="38" t="n">
        <x:v>1746</x:v>
      </x:c>
      <x:c r="L133" s="38" t="n">
        <x:v>1720</x:v>
      </x:c>
      <x:c r="M133" s="32"/>
      <x:c r="N133" s="38" t="n">
        <x:v>8.68</x:v>
      </x:c>
      <x:c r="O133" s="38"/>
      <x:c r="P133" s="38"/>
      <x:c r="Q133" s="38"/>
      <x:c r="R133" s="38"/>
      <x:c r="S133" s="38"/>
      <x:c r="T133" s="40"/>
      <x:c r="U133" s="32" t="str">
        <x:v>eşleşme yok</x:v>
      </x:c>
      <x:c r="V133" s="32" t="str">
        <x:v>C</x:v>
      </x:c>
      <x:c r="W133" s="32" t="str">
        <x:v>https://www.milligazete.com.tr/hidroelektrik-santrali-hes-nedir-turkiyede-kac-tane-hes-var</x:v>
      </x:c>
      <x:c r="X133" s="32" t="str">
        <x:v>https://www.milligazete.com.tr/hidroelektrik-santrali-hes-nedir-turkiyede-kac-tane-hes-var</x:v>
      </x:c>
      <x:c r="Y133" s="32"/>
      <x:c r="Z133" s="32" t="str">
        <x:v>10</x:v>
      </x:c>
      <x:c r="AA133" s="101" t="str">
        <x:v>EPİAŞ su göstergesi eşleşmesi bulunamadı; Kaskat alanında kaynak değeri '10' (belirsiz/sentinel); Koordinat güvenilir açık kaynaktan doğrulanamadı; Kurulu güç bulunamadı; Eksik kurulu güç/il bilgisi kamuya açık web kaynağıyla tamamlandı; Ünite debisi doğrulanamadı; Maksimum/minimum hacim doğrulanamadı</x:v>
      </x:c>
    </x:row>
    <x:row r="134" ht="30" customHeight="1">
      <x:c r="A134" s="100" t="n">
        <x:v>131</x:v>
      </x:c>
      <x:c r="B134" s="32" t="str">
        <x:v>MUSATEPE VE KAVŞAKTEPE HES</x:v>
      </x:c>
      <x:c r="C134" s="32" t="str">
        <x:v>Fırat Dicle</x:v>
      </x:c>
      <x:c r="D134" s="32" t="str">
        <x:v>Fırat-Dicle</x:v>
      </x:c>
      <x:c r="E134" s="34" t="n">
        <x:v>21</x:v>
      </x:c>
      <x:c r="F134" s="32" t="str">
        <x:v>https://cbs1.tarimorman.gov.tr/server/rest/services/TATUS/FeatureServer/11/query?where=ID%3D21&amp;outFields=ID%2CHAVZA_ADI%2CALAN_KM2&amp;returnGeometry=true&amp;outSR=4326&amp;f=geojson</x:v>
      </x:c>
      <x:c r="G134" s="32" t="str">
        <x:v>MUSATEPE VE KAVŞAKTEPE</x:v>
      </x:c>
      <x:c r="H134" s="32" t="str">
        <x:v>ŞIRNAK</x:v>
      </x:c>
      <x:c r="I134" s="36"/>
      <x:c r="J134" s="36"/>
      <x:c r="K134" s="38" t="n">
        <x:v>0</x:v>
      </x:c>
      <x:c r="L134" s="38" t="n">
        <x:v>0</x:v>
      </x:c>
      <x:c r="M134" s="32" t="str">
        <x:v>BALLI HES</x:v>
      </x:c>
      <x:c r="N134" s="38" t="n">
        <x:v>3.5</x:v>
      </x:c>
      <x:c r="O134" s="38"/>
      <x:c r="P134" s="38"/>
      <x:c r="Q134" s="38"/>
      <x:c r="R134" s="38"/>
      <x:c r="S134" s="38"/>
      <x:c r="T134" s="40"/>
      <x:c r="U134" s="32" t="str">
        <x:v>eşleşme yok</x:v>
      </x:c>
      <x:c r="V134" s="32" t="str">
        <x:v>C</x:v>
      </x:c>
      <x:c r="W134" s="32" t="str">
        <x:v>https://pusula-group.com.tr/proje-kategori/hidroelektrik-santral</x:v>
      </x:c>
      <x:c r="X134" s="32" t="str">
        <x:v>https://pusula-group.com.tr/proje-kategori/hidroelektrik-santral</x:v>
      </x:c>
      <x:c r="Y134" s="32"/>
      <x:c r="Z134" s="32" t="str">
        <x:v>BALLI HES</x:v>
      </x:c>
      <x:c r="AA134" s="101" t="str">
        <x:v>EPİAŞ su göstergesi eşleşmesi bulunamadı; Koordinat güvenilir açık kaynaktan doğrulanamadı; Kurulu güç bulunamadı; Eksik kurulu güç/il bilgisi kamuya açık web kaynağıyla tamamlandı; Ünite debisi doğrulanamadı; Maksimum/minimum hacim doğrulanamadı</x:v>
      </x:c>
    </x:row>
    <x:row r="135" ht="30" customHeight="1">
      <x:c r="A135" s="100" t="n">
        <x:v>132</x:v>
      </x:c>
      <x:c r="B135" s="32" t="str">
        <x:v>OBRUK HES</x:v>
      </x:c>
      <x:c r="C135" s="32" t="str">
        <x:v>Kızılırmak</x:v>
      </x:c>
      <x:c r="D135" s="32" t="str">
        <x:v>Kızılırmak</x:v>
      </x:c>
      <x:c r="E135" s="34" t="n">
        <x:v>15</x:v>
      </x:c>
      <x:c r="F135" s="32" t="str">
        <x:v>https://cbs1.tarimorman.gov.tr/server/rest/services/TATUS/FeatureServer/11/query?where=ID%3D15&amp;outFields=ID%2CHAVZA_ADI%2CALAN_KM2&amp;returnGeometry=true&amp;outSR=4326&amp;f=geojson</x:v>
      </x:c>
      <x:c r="G135" s="32" t="str">
        <x:v>OBRUK</x:v>
      </x:c>
      <x:c r="H135" s="32" t="str">
        <x:v>ÇORUM</x:v>
      </x:c>
      <x:c r="I135" s="36" t="n">
        <x:v>40.770278</x:v>
      </x:c>
      <x:c r="J135" s="36" t="n">
        <x:v>34.788056</x:v>
      </x:c>
      <x:c r="K135" s="38" t="n">
        <x:v>510</x:v>
      </x:c>
      <x:c r="L135" s="38" t="n">
        <x:v>506</x:v>
      </x:c>
      <x:c r="M135" s="32" t="str">
        <x:v>KARGI KIZILIRMAK HES</x:v>
      </x:c>
      <x:c r="N135" s="38" t="n">
        <x:v>202.8</x:v>
      </x:c>
      <x:c r="O135" s="38" t="n">
        <x:v>375</x:v>
      </x:c>
      <x:c r="P135" s="38" t="n">
        <x:v>427.16</x:v>
      </x:c>
      <x:c r="Q135" s="38" t="n">
        <x:v>297.72</x:v>
      </x:c>
      <x:c r="R135" s="38" t="n">
        <x:v>47.62</x:v>
      </x:c>
      <x:c r="S135" s="38" t="n">
        <x:v>7.37</x:v>
      </x:c>
      <x:c r="T135" s="40" t="n">
        <x:v>46278.81434027778</x:v>
      </x:c>
      <x:c r="U135" s="32" t="str">
        <x:v>exact</x:v>
      </x:c>
      <x:c r="V135" s="32" t="str">
        <x:v>A</x:v>
      </x:c>
      <x:c r="W135" s="32" t="str">
        <x:v>Yüklü Debi_ve_Kurulu_Guc-13092026.xlsx</x:v>
      </x:c>
      <x:c r="X135" s="32" t="str">
        <x:v>Yüklü Debi_ve_Kurulu_Guc-13092026.xlsx</x:v>
      </x:c>
      <x:c r="Y135" s="32" t="str">
        <x:v>https://turkiyebarajlar.com/baraj/obruk</x:v>
      </x:c>
      <x:c r="Z135" s="32" t="str">
        <x:v>KARGI KIZILIRMAK HES</x:v>
      </x:c>
      <x:c r="AA135" s="101" t="str"/>
    </x:row>
    <x:row r="136" ht="30" customHeight="1">
      <x:c r="A136" s="100" t="n">
        <x:v>133</x:v>
      </x:c>
      <x:c r="B136" s="32" t="str">
        <x:v>OYMAPINAR HES</x:v>
      </x:c>
      <x:c r="C136" s="32" t="str">
        <x:v>Orta Akdeniz</x:v>
      </x:c>
      <x:c r="D136" s="32" t="str">
        <x:v>Antalya</x:v>
      </x:c>
      <x:c r="E136" s="34" t="n">
        <x:v>9</x:v>
      </x:c>
      <x:c r="F136" s="32" t="str">
        <x:v>https://cbs1.tarimorman.gov.tr/server/rest/services/TATUS/FeatureServer/11/query?where=ID%3D9&amp;outFields=ID%2CHAVZA_ADI%2CALAN_KM2&amp;returnGeometry=true&amp;outSR=4326&amp;f=geojson</x:v>
      </x:c>
      <x:c r="G136" s="32" t="str">
        <x:v>OYMAPINAR</x:v>
      </x:c>
      <x:c r="H136" s="32" t="str">
        <x:v>ANTALYA</x:v>
      </x:c>
      <x:c r="I136" s="36"/>
      <x:c r="J136" s="36"/>
      <x:c r="K136" s="38" t="n">
        <x:v>184</x:v>
      </x:c>
      <x:c r="L136" s="38" t="n">
        <x:v>166</x:v>
      </x:c>
      <x:c r="M136" s="32"/>
      <x:c r="N136" s="38" t="n">
        <x:v>540</x:v>
      </x:c>
      <x:c r="O136" s="38" t="n">
        <x:v>450</x:v>
      </x:c>
      <x:c r="P136" s="38" t="n">
        <x:v>322.53</x:v>
      </x:c>
      <x:c r="Q136" s="38" t="n">
        <x:v>239.22</x:v>
      </x:c>
      <x:c r="R136" s="38" t="n">
        <x:v>67.17</x:v>
      </x:c>
      <x:c r="S136" s="38" t="n">
        <x:v>25.32</x:v>
      </x:c>
      <x:c r="T136" s="40" t="n">
        <x:v>46278.81434027778</x:v>
      </x:c>
      <x:c r="U136" s="32" t="str">
        <x:v>exact</x:v>
      </x:c>
      <x:c r="V136" s="32" t="str">
        <x:v>B</x:v>
      </x:c>
      <x:c r="W136" s="32" t="str">
        <x:v>Yüklü Debi_ve_Kurulu_Guc-13092026.xlsx</x:v>
      </x:c>
      <x:c r="X136" s="32" t="str">
        <x:v>Yüklü Debi_ve_Kurulu_Guc-13092026.xlsx</x:v>
      </x:c>
      <x:c r="Y136" s="32"/>
      <x:c r="Z136" s="32" t="str">
        <x:v>10</x:v>
      </x:c>
      <x:c r="AA136" s="101" t="str">
        <x:v>Kaskat alanında kaynak değeri '10' (belirsiz/sentinel); Koordinat güvenilir açık kaynaktan doğrulanamadı</x:v>
      </x:c>
    </x:row>
    <x:row r="137" ht="30" customHeight="1">
      <x:c r="A137" s="100" t="n">
        <x:v>134</x:v>
      </x:c>
      <x:c r="B137" s="32" t="str">
        <x:v>ÖZLÜCE HES</x:v>
      </x:c>
      <x:c r="C137" s="32" t="str">
        <x:v>Fırat Dicle</x:v>
      </x:c>
      <x:c r="D137" s="32" t="str">
        <x:v>Fırat-Dicle</x:v>
      </x:c>
      <x:c r="E137" s="34" t="n">
        <x:v>21</x:v>
      </x:c>
      <x:c r="F137" s="32" t="str">
        <x:v>https://cbs1.tarimorman.gov.tr/server/rest/services/TATUS/FeatureServer/11/query?where=ID%3D21&amp;outFields=ID%2CHAVZA_ADI%2CALAN_KM2&amp;returnGeometry=true&amp;outSR=4326&amp;f=geojson</x:v>
      </x:c>
      <x:c r="G137" s="32" t="str">
        <x:v>ÖZLÜCE</x:v>
      </x:c>
      <x:c r="H137" s="32" t="str">
        <x:v>BİNGÖL</x:v>
      </x:c>
      <x:c r="I137" s="36"/>
      <x:c r="J137" s="36"/>
      <x:c r="K137" s="38" t="n">
        <x:v>1140.95</x:v>
      </x:c>
      <x:c r="L137" s="38" t="n">
        <x:v>1105</x:v>
      </x:c>
      <x:c r="M137" s="32" t="str">
        <x:v>PEMBELİK HES</x:v>
      </x:c>
      <x:c r="N137" s="38" t="n">
        <x:v>170</x:v>
      </x:c>
      <x:c r="O137" s="38"/>
      <x:c r="P137" s="38"/>
      <x:c r="Q137" s="38"/>
      <x:c r="R137" s="38"/>
      <x:c r="S137" s="38"/>
      <x:c r="T137" s="40"/>
      <x:c r="U137" s="32" t="str">
        <x:v>eşleşme yok</x:v>
      </x:c>
      <x:c r="V137" s="32" t="str">
        <x:v>C</x:v>
      </x:c>
      <x:c r="W137" s="32" t="str">
        <x:v>https://www.enerjiatlasi.com/hidroelektrik/?v=1.0.24</x:v>
      </x:c>
      <x:c r="X137" s="32" t="str">
        <x:v>https://openinframap.org/stats/area/Turkey/plants?source=hydro</x:v>
      </x:c>
      <x:c r="Y137" s="32"/>
      <x:c r="Z137" s="32" t="str">
        <x:v>PEMBELİK HES</x:v>
      </x:c>
      <x:c r="AA137" s="101" t="str">
        <x:v>EPİAŞ su göstergesi eşleşmesi bulunamadı; Koordinat güvenilir açık kaynaktan doğrulanamadı; Ünite debisi doğrulanamadı; Maksimum/minimum hacim doğrulanamadı</x:v>
      </x:c>
    </x:row>
    <x:row r="138" ht="30" customHeight="1">
      <x:c r="A138" s="100" t="n">
        <x:v>135</x:v>
      </x:c>
      <x:c r="B138" s="32" t="str">
        <x:v>PEMBELİK HES</x:v>
      </x:c>
      <x:c r="C138" s="32" t="str">
        <x:v>Fırat Dicle</x:v>
      </x:c>
      <x:c r="D138" s="32" t="str">
        <x:v>Fırat-Dicle</x:v>
      </x:c>
      <x:c r="E138" s="34" t="n">
        <x:v>21</x:v>
      </x:c>
      <x:c r="F138" s="32" t="str">
        <x:v>https://cbs1.tarimorman.gov.tr/server/rest/services/TATUS/FeatureServer/11/query?where=ID%3D21&amp;outFields=ID%2CHAVZA_ADI%2CALAN_KM2&amp;returnGeometry=true&amp;outSR=4326&amp;f=geojson</x:v>
      </x:c>
      <x:c r="G138" s="32" t="str">
        <x:v>PEMBELİK</x:v>
      </x:c>
      <x:c r="H138" s="32" t="str">
        <x:v>ELAZIĞ</x:v>
      </x:c>
      <x:c r="I138" s="36"/>
      <x:c r="J138" s="36"/>
      <x:c r="K138" s="38" t="n">
        <x:v>1026.4</x:v>
      </x:c>
      <x:c r="L138" s="38" t="n">
        <x:v>1005</x:v>
      </x:c>
      <x:c r="M138" s="32" t="str">
        <x:v>TATAR HES</x:v>
      </x:c>
      <x:c r="N138" s="38" t="n">
        <x:v>127</x:v>
      </x:c>
      <x:c r="O138" s="38"/>
      <x:c r="P138" s="38"/>
      <x:c r="Q138" s="38"/>
      <x:c r="R138" s="38"/>
      <x:c r="S138" s="38"/>
      <x:c r="T138" s="40"/>
      <x:c r="U138" s="32" t="str">
        <x:v>eşleşme yok</x:v>
      </x:c>
      <x:c r="V138" s="32" t="str">
        <x:v>C</x:v>
      </x:c>
      <x:c r="W138" s="32" t="str">
        <x:v>https://www.enerjiatlasi.com/hidroelektrik/?v=1.0.24</x:v>
      </x:c>
      <x:c r="X138" s="32" t="str">
        <x:v>https://openinframap.org/stats/area/Turkey/plants?source=hydro</x:v>
      </x:c>
      <x:c r="Y138" s="32"/>
      <x:c r="Z138" s="32" t="str">
        <x:v>TATAR HES</x:v>
      </x:c>
      <x:c r="AA138" s="101" t="str">
        <x:v>EPİAŞ su göstergesi eşleşmesi bulunamadı; Koordinat güvenilir açık kaynaktan doğrulanamadı; Ünite debisi doğrulanamadı; Maksimum/minimum hacim doğrulanamadı</x:v>
      </x:c>
    </x:row>
    <x:row r="139" ht="30" customHeight="1">
      <x:c r="A139" s="100" t="n">
        <x:v>136</x:v>
      </x:c>
      <x:c r="B139" s="32" t="str">
        <x:v>REŞADİYE HES</x:v>
      </x:c>
      <x:c r="C139" s="32" t="str">
        <x:v>Yeşilırmak</x:v>
      </x:c>
      <x:c r="D139" s="32" t="str">
        <x:v>Yeşilırmak</x:v>
      </x:c>
      <x:c r="E139" s="34" t="n">
        <x:v>14</x:v>
      </x:c>
      <x:c r="F139" s="32" t="str">
        <x:v>https://cbs1.tarimorman.gov.tr/server/rest/services/TATUS/FeatureServer/11/query?where=ID%3D14&amp;outFields=ID%2CHAVZA_ADI%2CALAN_KM2&amp;returnGeometry=true&amp;outSR=4326&amp;f=geojson</x:v>
      </x:c>
      <x:c r="G139" s="32" t="str">
        <x:v>REŞADİYE</x:v>
      </x:c>
      <x:c r="H139" s="32" t="str">
        <x:v>TOKAT</x:v>
      </x:c>
      <x:c r="I139" s="36"/>
      <x:c r="J139" s="36"/>
      <x:c r="K139" s="38" t="n">
        <x:v>531</x:v>
      </x:c>
      <x:c r="L139" s="38" t="n">
        <x:v>529</x:v>
      </x:c>
      <x:c r="M139" s="32"/>
      <x:c r="N139" s="38" t="n">
        <x:v>64.25</x:v>
      </x:c>
      <x:c r="O139" s="38"/>
      <x:c r="P139" s="38"/>
      <x:c r="Q139" s="38"/>
      <x:c r="R139" s="38"/>
      <x:c r="S139" s="38"/>
      <x:c r="T139" s="40"/>
      <x:c r="U139" s="32" t="str">
        <x:v>eşleşme yok</x:v>
      </x:c>
      <x:c r="V139" s="32" t="str">
        <x:v>C</x:v>
      </x:c>
      <x:c r="W139" s="32" t="str">
        <x:v>https://webdosya.csb.gov.tr/db/ced/icerikler/tokat-ilcdr-2024-20250912142307.pdf</x:v>
      </x:c>
      <x:c r="X139" s="32" t="str">
        <x:v>https://webdosya.csb.gov.tr/db/ced/icerikler/tokat-ilcdr-2024-20250912142307.pdf</x:v>
      </x:c>
      <x:c r="Y139" s="32"/>
      <x:c r="Z139" s="32" t="str">
        <x:v>10</x:v>
      </x:c>
      <x:c r="AA139" s="101" t="str">
        <x:v>EPİAŞ su göstergesi eşleşmesi bulunamadı; Kaskat alanında kaynak değeri '10' (belirsiz/sentinel); Koordinat güvenilir açık kaynaktan doğrulanamadı; Kurulu güç bulunamadı; Eksik kurulu güç/il bilgisi kamuya açık web kaynağıyla tamamlandı; Ünite debisi doğrulanamadı; Maksimum/minimum hacim doğrulanamadı</x:v>
      </x:c>
    </x:row>
    <x:row r="140" ht="30" customHeight="1">
      <x:c r="A140" s="100" t="n">
        <x:v>137</x:v>
      </x:c>
      <x:c r="B140" s="32" t="str">
        <x:v>SANİBEY HES</x:v>
      </x:c>
      <x:c r="C140" s="32" t="str">
        <x:v>Seyhan</x:v>
      </x:c>
      <x:c r="D140" s="32" t="str">
        <x:v>Seyhan</x:v>
      </x:c>
      <x:c r="E140" s="34" t="n">
        <x:v>18</x:v>
      </x:c>
      <x:c r="F140" s="32" t="str">
        <x:v>https://cbs1.tarimorman.gov.tr/server/rest/services/TATUS/FeatureServer/11/query?where=ID%3D18&amp;outFields=ID%2CHAVZA_ADI%2CALAN_KM2&amp;returnGeometry=true&amp;outSR=4326&amp;f=geojson</x:v>
      </x:c>
      <x:c r="G140" s="32" t="str">
        <x:v>YEDİGÖZE</x:v>
      </x:c>
      <x:c r="H140" s="32" t="str">
        <x:v>ADANA</x:v>
      </x:c>
      <x:c r="I140" s="36" t="n">
        <x:v>37.401506</x:v>
      </x:c>
      <x:c r="J140" s="36" t="n">
        <x:v>35.445297</x:v>
      </x:c>
      <x:c r="K140" s="38" t="n">
        <x:v>235</x:v>
      </x:c>
      <x:c r="L140" s="38" t="n">
        <x:v>210</x:v>
      </x:c>
      <x:c r="M140" s="32" t="str">
        <x:v>ÇATALAN HES</x:v>
      </x:c>
      <x:c r="N140" s="38" t="n">
        <x:v>317</x:v>
      </x:c>
      <x:c r="O140" s="38" t="n">
        <x:v>380</x:v>
      </x:c>
      <x:c r="P140" s="38" t="n">
        <x:v>642.82</x:v>
      </x:c>
      <x:c r="Q140" s="38" t="n">
        <x:v>342.35</x:v>
      </x:c>
      <x:c r="R140" s="38" t="n">
        <x:v>276.57</x:v>
      </x:c>
      <x:c r="S140" s="38" t="n">
        <x:v>63.64</x:v>
      </x:c>
      <x:c r="T140" s="40" t="n">
        <x:v>46278.81434027778</x:v>
      </x:c>
      <x:c r="U140" s="32" t="str">
        <x:v>alias</x:v>
      </x:c>
      <x:c r="V140" s="32" t="str">
        <x:v>A</x:v>
      </x:c>
      <x:c r="W140" s="32" t="str">
        <x:v>Yüklü Debi_ve_Kurulu_Guc-13092026.xlsx</x:v>
      </x:c>
      <x:c r="X140" s="32" t="str">
        <x:v>Yüklü Debi_ve_Kurulu_Guc-13092026.xlsx</x:v>
      </x:c>
      <x:c r="Y140" s="32" t="str">
        <x:v>https://turkiyebarajlar.com/baraj/yedigoze</x:v>
      </x:c>
      <x:c r="Z140" s="32" t="str">
        <x:v>ÇATALAN HES</x:v>
      </x:c>
      <x:c r="AA140" s="101" t="str">
        <x:v>Baraj adı eşleşmesi: YEDİGÖZE</x:v>
      </x:c>
    </x:row>
    <x:row r="141" ht="30" customHeight="1">
      <x:c r="A141" s="100" t="n">
        <x:v>138</x:v>
      </x:c>
      <x:c r="B141" s="32" t="str">
        <x:v>SARIGÜZEL HES</x:v>
      </x:c>
      <x:c r="C141" s="32" t="str">
        <x:v>Ceyhan</x:v>
      </x:c>
      <x:c r="D141" s="32" t="str">
        <x:v>Ceyhan</x:v>
      </x:c>
      <x:c r="E141" s="34" t="n">
        <x:v>20</x:v>
      </x:c>
      <x:c r="F141" s="32" t="str">
        <x:v>https://cbs1.tarimorman.gov.tr/server/rest/services/TATUS/FeatureServer/11/query?where=ID%3D20&amp;outFields=ID%2CHAVZA_ADI%2CALAN_KM2&amp;returnGeometry=true&amp;outSR=4326&amp;f=geojson</x:v>
      </x:c>
      <x:c r="G141" s="32" t="str">
        <x:v>SARIGÜZEL HES</x:v>
      </x:c>
      <x:c r="H141" s="32" t="str">
        <x:v>KAHRAMANMARAŞ</x:v>
      </x:c>
      <x:c r="I141" s="36" t="n">
        <x:v>37.56744</x:v>
      </x:c>
      <x:c r="J141" s="36" t="n">
        <x:v>36.925392</x:v>
      </x:c>
      <x:c r="K141" s="38" t="n">
        <x:v>868</x:v>
      </x:c>
      <x:c r="L141" s="38" t="n">
        <x:v>860</x:v>
      </x:c>
      <x:c r="M141" s="32" t="str">
        <x:v>MENZELET HES</x:v>
      </x:c>
      <x:c r="N141" s="38" t="n">
        <x:v>95</x:v>
      </x:c>
      <x:c r="O141" s="38" t="n">
        <x:v>99.2</x:v>
      </x:c>
      <x:c r="P141" s="38" t="n">
        <x:v>59.4</x:v>
      </x:c>
      <x:c r="Q141" s="38" t="n">
        <x:v>20.33</x:v>
      </x:c>
      <x:c r="R141" s="38" t="n">
        <x:v>31.88</x:v>
      </x:c>
      <x:c r="S141" s="38" t="n">
        <x:v>9.34</x:v>
      </x:c>
      <x:c r="T141" s="40" t="n">
        <x:v>46278.81434027778</x:v>
      </x:c>
      <x:c r="U141" s="32" t="str">
        <x:v>exact</x:v>
      </x:c>
      <x:c r="V141" s="32" t="str">
        <x:v>A</x:v>
      </x:c>
      <x:c r="W141" s="32" t="str">
        <x:v>Yüklü Debi_ve_Kurulu_Guc-13092026.xlsx</x:v>
      </x:c>
      <x:c r="X141" s="32" t="str">
        <x:v>Yüklü Debi_ve_Kurulu_Guc-13092026.xlsx</x:v>
      </x:c>
      <x:c r="Y141" s="32" t="str">
        <x:v>https://cbs1.tarimorman.gov.tr/server/rest/services/TATUS/FeatureServer/7</x:v>
      </x:c>
      <x:c r="Z141" s="32" t="str">
        <x:v>MENZELET HES</x:v>
      </x:c>
      <x:c r="AA141" s="101" t="str"/>
    </x:row>
    <x:row r="142" ht="30" customHeight="1">
      <x:c r="A142" s="100" t="n">
        <x:v>139</x:v>
      </x:c>
      <x:c r="B142" s="32" t="str">
        <x:v>SARIMEHMET HES</x:v>
      </x:c>
      <x:c r="C142" s="32" t="str">
        <x:v>Van Gölü</x:v>
      </x:c>
      <x:c r="D142" s="32" t="str">
        <x:v>Van Gölü</x:v>
      </x:c>
      <x:c r="E142" s="34" t="n">
        <x:v>25</x:v>
      </x:c>
      <x:c r="F142" s="32" t="str">
        <x:v>https://cbs1.tarimorman.gov.tr/server/rest/services/TATUS/FeatureServer/11/query?where=ID%3D25&amp;outFields=ID%2CHAVZA_ADI%2CALAN_KM2&amp;returnGeometry=true&amp;outSR=4326&amp;f=geojson</x:v>
      </x:c>
      <x:c r="G142" s="32" t="str">
        <x:v>SARIMEHMET</x:v>
      </x:c>
      <x:c r="H142" s="32" t="str">
        <x:v>VAN</x:v>
      </x:c>
      <x:c r="I142" s="36" t="n">
        <x:v>38.79301</x:v>
      </x:c>
      <x:c r="J142" s="36" t="n">
        <x:v>43.74338</x:v>
      </x:c>
      <x:c r="K142" s="38" t="n">
        <x:v>2013.12</x:v>
      </x:c>
      <x:c r="L142" s="38" t="n">
        <x:v>1985.6</x:v>
      </x:c>
      <x:c r="M142" s="32"/>
      <x:c r="N142" s="38" t="n">
        <x:v>3.4</x:v>
      </x:c>
      <x:c r="O142" s="38" t="n">
        <x:v>20</x:v>
      </x:c>
      <x:c r="P142" s="38" t="n">
        <x:v>196.28</x:v>
      </x:c>
      <x:c r="Q142" s="38" t="n">
        <x:v>17.71</x:v>
      </x:c>
      <x:c r="R142" s="38" t="n">
        <x:v>41.08</x:v>
      </x:c>
      <x:c r="S142" s="38" t="n">
        <x:v>3.22</x:v>
      </x:c>
      <x:c r="T142" s="40" t="n">
        <x:v>46278.81434027778</x:v>
      </x:c>
      <x:c r="U142" s="32" t="str">
        <x:v>exact</x:v>
      </x:c>
      <x:c r="V142" s="32" t="str">
        <x:v>A</x:v>
      </x:c>
      <x:c r="W142" s="32" t="str">
        <x:v>Yüklü Debi_ve_Kurulu_Guc-13092026.xlsx</x:v>
      </x:c>
      <x:c r="X142" s="32" t="str">
        <x:v>Yüklü Debi_ve_Kurulu_Guc-13092026.xlsx</x:v>
      </x:c>
      <x:c r="Y142" s="32" t="str">
        <x:v>https://cbs1.tarimorman.gov.tr/server/rest/services/TATUS/FeatureServer/7</x:v>
      </x:c>
      <x:c r="Z142" s="32" t="str">
        <x:v>10</x:v>
      </x:c>
      <x:c r="AA142" s="101" t="str">
        <x:v>Kaskat alanında kaynak değeri '10' (belirsiz/sentinel)</x:v>
      </x:c>
    </x:row>
    <x:row r="143" ht="30" customHeight="1">
      <x:c r="A143" s="100" t="n">
        <x:v>140</x:v>
      </x:c>
      <x:c r="B143" s="32" t="str">
        <x:v>SARIYAR HES</x:v>
      </x:c>
      <x:c r="C143" s="32" t="str">
        <x:v>Sakarya</x:v>
      </x:c>
      <x:c r="D143" s="32" t="str">
        <x:v>Sakarya</x:v>
      </x:c>
      <x:c r="E143" s="34" t="n">
        <x:v>12</x:v>
      </x:c>
      <x:c r="F143" s="32" t="str">
        <x:v>https://cbs1.tarimorman.gov.tr/server/rest/services/TATUS/FeatureServer/11/query?where=ID%3D12&amp;outFields=ID%2CHAVZA_ADI%2CALAN_KM2&amp;returnGeometry=true&amp;outSR=4326&amp;f=geojson</x:v>
      </x:c>
      <x:c r="G143" s="32" t="str">
        <x:v>SARIYAR</x:v>
      </x:c>
      <x:c r="H143" s="32" t="str">
        <x:v>ESKİŞEHİR</x:v>
      </x:c>
      <x:c r="I143" s="36"/>
      <x:c r="J143" s="36"/>
      <x:c r="K143" s="38" t="n">
        <x:v>472.7</x:v>
      </x:c>
      <x:c r="L143" s="38" t="n">
        <x:v>457.7</x:v>
      </x:c>
      <x:c r="M143" s="32" t="str">
        <x:v>GÖKÇEKAYA HES</x:v>
      </x:c>
      <x:c r="N143" s="38" t="n">
        <x:v>160</x:v>
      </x:c>
      <x:c r="O143" s="38" t="n">
        <x:v>240</x:v>
      </x:c>
      <x:c r="P143" s="38" t="n">
        <x:v>1411.35</x:v>
      </x:c>
      <x:c r="Q143" s="38" t="n">
        <x:v>591.84</x:v>
      </x:c>
      <x:c r="R143" s="38" t="n">
        <x:v>528.65</x:v>
      </x:c>
      <x:c r="S143" s="38" t="n">
        <x:v>99.07</x:v>
      </x:c>
      <x:c r="T143" s="40" t="n">
        <x:v>46278.81434027778</x:v>
      </x:c>
      <x:c r="U143" s="32" t="str">
        <x:v>exact</x:v>
      </x:c>
      <x:c r="V143" s="32" t="str">
        <x:v>B</x:v>
      </x:c>
      <x:c r="W143" s="32" t="str">
        <x:v>Yüklü Debi_ve_Kurulu_Guc-13092026.xlsx</x:v>
      </x:c>
      <x:c r="X143" s="32" t="str">
        <x:v>Yüklü Debi_ve_Kurulu_Guc-13092026.xlsx</x:v>
      </x:c>
      <x:c r="Y143" s="32"/>
      <x:c r="Z143" s="32" t="str">
        <x:v>GÖKÇEKAYA HES</x:v>
      </x:c>
      <x:c r="AA143" s="101" t="str">
        <x:v>Koordinat güvenilir açık kaynaktan doğrulanamadı</x:v>
      </x:c>
    </x:row>
    <x:row r="144" ht="30" customHeight="1">
      <x:c r="A144" s="100" t="n">
        <x:v>141</x:v>
      </x:c>
      <x:c r="B144" s="32" t="str">
        <x:v>SEFAKÖY HES</x:v>
      </x:c>
      <x:c r="C144" s="32" t="str">
        <x:v>Aras</x:v>
      </x:c>
      <x:c r="D144" s="32" t="str">
        <x:v>Aras</x:v>
      </x:c>
      <x:c r="E144" s="34" t="n">
        <x:v>24</x:v>
      </x:c>
      <x:c r="F144" s="32" t="str">
        <x:v>https://cbs1.tarimorman.gov.tr/server/rest/services/TATUS/FeatureServer/11/query?where=ID%3D24&amp;outFields=ID%2CHAVZA_ADI%2CALAN_KM2&amp;returnGeometry=true&amp;outSR=4326&amp;f=geojson</x:v>
      </x:c>
      <x:c r="G144" s="32" t="str">
        <x:v>SEFAKÖY</x:v>
      </x:c>
      <x:c r="H144" s="32" t="str">
        <x:v>KARS</x:v>
      </x:c>
      <x:c r="I144" s="36"/>
      <x:c r="J144" s="36"/>
      <x:c r="K144" s="38" t="n">
        <x:v>1098</x:v>
      </x:c>
      <x:c r="L144" s="38" t="n">
        <x:v>1092</x:v>
      </x:c>
      <x:c r="M144" s="32"/>
      <x:c r="N144" s="38" t="n">
        <x:v>33.11</x:v>
      </x:c>
      <x:c r="O144" s="38"/>
      <x:c r="P144" s="38"/>
      <x:c r="Q144" s="38"/>
      <x:c r="R144" s="38"/>
      <x:c r="S144" s="38"/>
      <x:c r="T144" s="40"/>
      <x:c r="U144" s="32" t="str">
        <x:v>eşleşme yok</x:v>
      </x:c>
      <x:c r="V144" s="32" t="str">
        <x:v>C</x:v>
      </x:c>
      <x:c r="W144" s="32" t="str">
        <x:v>https://www.enerjiatlasi.com/hidroelektrik/?v=1.0.24</x:v>
      </x:c>
      <x:c r="X144" s="32" t="str">
        <x:v>https://openinframap.org/stats/area/Turkey/plants?source=hydro</x:v>
      </x:c>
      <x:c r="Y144" s="32"/>
      <x:c r="Z144" s="32" t="str">
        <x:v>10</x:v>
      </x:c>
      <x:c r="AA144" s="101" t="str">
        <x:v>EPİAŞ su göstergesi eşleşmesi bulunamadı; Kaskat alanında kaynak değeri '10' (belirsiz/sentinel); Koordinat güvenilir açık kaynaktan doğrulanamadı; Ünite debisi doğrulanamadı; Maksimum/minimum hacim doğrulanamadı</x:v>
      </x:c>
    </x:row>
    <x:row r="145" ht="30" customHeight="1">
      <x:c r="A145" s="100" t="n">
        <x:v>142</x:v>
      </x:c>
      <x:c r="B145" s="32" t="str">
        <x:v>SEYHAN 1 HES</x:v>
      </x:c>
      <x:c r="C145" s="32" t="str">
        <x:v>Seyhan</x:v>
      </x:c>
      <x:c r="D145" s="32" t="str">
        <x:v>Seyhan</x:v>
      </x:c>
      <x:c r="E145" s="34" t="n">
        <x:v>18</x:v>
      </x:c>
      <x:c r="F145" s="32" t="str">
        <x:v>https://cbs1.tarimorman.gov.tr/server/rest/services/TATUS/FeatureServer/11/query?where=ID%3D18&amp;outFields=ID%2CHAVZA_ADI%2CALAN_KM2&amp;returnGeometry=true&amp;outSR=4326&amp;f=geojson</x:v>
      </x:c>
      <x:c r="G145" s="32" t="str">
        <x:v>SEYHAN-I</x:v>
      </x:c>
      <x:c r="H145" s="32" t="str">
        <x:v>ADANA</x:v>
      </x:c>
      <x:c r="I145" s="36" t="n">
        <x:v>37.03695</x:v>
      </x:c>
      <x:c r="J145" s="36" t="n">
        <x:v>35.34139</x:v>
      </x:c>
      <x:c r="K145" s="38" t="n">
        <x:v>67.5</x:v>
      </x:c>
      <x:c r="L145" s="38" t="n">
        <x:v>49</x:v>
      </x:c>
      <x:c r="M145" s="32" t="str">
        <x:v>SEYHAN 2 HES</x:v>
      </x:c>
      <x:c r="N145" s="38" t="n">
        <x:v>54</x:v>
      </x:c>
      <x:c r="O145" s="38" t="n">
        <x:v>231</x:v>
      </x:c>
      <x:c r="P145" s="38" t="n">
        <x:v>835.35</x:v>
      </x:c>
      <x:c r="Q145" s="38" t="n">
        <x:v>160.7</x:v>
      </x:c>
      <x:c r="R145" s="38"/>
      <x:c r="S145" s="38"/>
      <x:c r="T145" s="40" t="n">
        <x:v>46278.81434027778</x:v>
      </x:c>
      <x:c r="U145" s="32" t="str">
        <x:v>alias</x:v>
      </x:c>
      <x:c r="V145" s="32" t="str">
        <x:v>A</x:v>
      </x:c>
      <x:c r="W145" s="32" t="str">
        <x:v>Yüklü Debi_ve_Kurulu_Guc-13092026.xlsx</x:v>
      </x:c>
      <x:c r="X145" s="32" t="str">
        <x:v>Yüklü Debi_ve_Kurulu_Guc-13092026.xlsx</x:v>
      </x:c>
      <x:c r="Y145" s="32" t="str">
        <x:v>https://cbs1.tarimorman.gov.tr/server/rest/services/TATUS/FeatureServer/7</x:v>
      </x:c>
      <x:c r="Z145" s="32" t="str">
        <x:v>SEYHAN 2 HES</x:v>
      </x:c>
      <x:c r="AA145" s="101" t="str">
        <x:v>Baraj adı eşleşmesi: SEYHAN-I</x:v>
      </x:c>
    </x:row>
    <x:row r="146" ht="30" customHeight="1">
      <x:c r="A146" s="100" t="n">
        <x:v>143</x:v>
      </x:c>
      <x:c r="B146" s="32" t="str">
        <x:v>SEYRANTEPE HES</x:v>
      </x:c>
      <x:c r="C146" s="32" t="str">
        <x:v>Fırat Dicle</x:v>
      </x:c>
      <x:c r="D146" s="32" t="str">
        <x:v>Fırat-Dicle</x:v>
      </x:c>
      <x:c r="E146" s="34" t="n">
        <x:v>21</x:v>
      </x:c>
      <x:c r="F146" s="32" t="str">
        <x:v>https://cbs1.tarimorman.gov.tr/server/rest/services/TATUS/FeatureServer/11/query?where=ID%3D21&amp;outFields=ID%2CHAVZA_ADI%2CALAN_KM2&amp;returnGeometry=true&amp;outSR=4326&amp;f=geojson</x:v>
      </x:c>
      <x:c r="G146" s="32" t="str">
        <x:v>SEYRANTEPE</x:v>
      </x:c>
      <x:c r="H146" s="32" t="str">
        <x:v>ELAZIĞ</x:v>
      </x:c>
      <x:c r="I146" s="36"/>
      <x:c r="J146" s="36"/>
      <x:c r="K146" s="38" t="n">
        <x:v>956.3</x:v>
      </x:c>
      <x:c r="L146" s="38" t="n">
        <x:v>953.5</x:v>
      </x:c>
      <x:c r="M146" s="32" t="str">
        <x:v>TATAR HES</x:v>
      </x:c>
      <x:c r="N146" s="38" t="n">
        <x:v>57</x:v>
      </x:c>
      <x:c r="O146" s="38"/>
      <x:c r="P146" s="38"/>
      <x:c r="Q146" s="38"/>
      <x:c r="R146" s="38"/>
      <x:c r="S146" s="38"/>
      <x:c r="T146" s="40"/>
      <x:c r="U146" s="32" t="str">
        <x:v>eşleşme yok</x:v>
      </x:c>
      <x:c r="V146" s="32" t="str">
        <x:v>C</x:v>
      </x:c>
      <x:c r="W146" s="32" t="str">
        <x:v>https://www.enerjiatlasi.com/hidroelektrik/?v=1.0.24</x:v>
      </x:c>
      <x:c r="X146" s="32" t="str">
        <x:v>https://openinframap.org/stats/area/Turkey/plants?source=hydro</x:v>
      </x:c>
      <x:c r="Y146" s="32"/>
      <x:c r="Z146" s="32" t="str">
        <x:v>TATAR HES</x:v>
      </x:c>
      <x:c r="AA146" s="101" t="str">
        <x:v>EPİAŞ su göstergesi eşleşmesi bulunamadı; Koordinat güvenilir açık kaynaktan doğrulanamadı; Ünite debisi doğrulanamadı; Maksimum/minimum hacim doğrulanamadı</x:v>
      </x:c>
    </x:row>
    <x:row r="147" ht="30" customHeight="1">
      <x:c r="A147" s="100" t="n">
        <x:v>144</x:v>
      </x:c>
      <x:c r="B147" s="32" t="str">
        <x:v>SIRAKONAKLAR HES</x:v>
      </x:c>
      <x:c r="C147" s="32" t="str">
        <x:v>Çoruh</x:v>
      </x:c>
      <x:c r="D147" s="32" t="str">
        <x:v>Çoruh</x:v>
      </x:c>
      <x:c r="E147" s="34" t="n">
        <x:v>23</x:v>
      </x:c>
      <x:c r="F147" s="32" t="str">
        <x:v>https://cbs1.tarimorman.gov.tr/server/rest/services/TATUS/FeatureServer/11/query?where=ID%3D23&amp;outFields=ID%2CHAVZA_ADI%2CALAN_KM2&amp;returnGeometry=true&amp;outSR=4326&amp;f=geojson</x:v>
      </x:c>
      <x:c r="G147" s="32" t="str">
        <x:v>SIRAKONAKLAR</x:v>
      </x:c>
      <x:c r="H147" s="32" t="str">
        <x:v>ERZURUM</x:v>
      </x:c>
      <x:c r="I147" s="36"/>
      <x:c r="J147" s="36"/>
      <x:c r="K147" s="38" t="n">
        <x:v>1245</x:v>
      </x:c>
      <x:c r="L147" s="38" t="n">
        <x:v>1237</x:v>
      </x:c>
      <x:c r="M147" s="32" t="str">
        <x:v>ARKUN HES</x:v>
      </x:c>
      <x:c r="N147" s="38" t="n">
        <x:v>18</x:v>
      </x:c>
      <x:c r="O147" s="38"/>
      <x:c r="P147" s="38"/>
      <x:c r="Q147" s="38"/>
      <x:c r="R147" s="38"/>
      <x:c r="S147" s="38"/>
      <x:c r="T147" s="40"/>
      <x:c r="U147" s="32" t="str">
        <x:v>eşleşme yok</x:v>
      </x:c>
      <x:c r="V147" s="32" t="str">
        <x:v>C</x:v>
      </x:c>
      <x:c r="W147" s="32" t="str">
        <x:v>https://www.evrensel.net/haber/5986783/dicle-ve-firat-havzalari-cevre-tahribati-kusatmasinda-244-hes-ve-ges-faaliyette-yuzlercesi-proje-asamasinda</x:v>
      </x:c>
      <x:c r="X147" s="32" t="str">
        <x:v>https://www.evrensel.net/haber/5986783/dicle-ve-firat-havzalari-cevre-tahribati-kusatmasinda-244-hes-ve-ges-faaliyette-yuzlercesi-proje-asamasinda</x:v>
      </x:c>
      <x:c r="Y147" s="32"/>
      <x:c r="Z147" s="32" t="str">
        <x:v>ARKUN HES</x:v>
      </x:c>
      <x:c r="AA147" s="101" t="str">
        <x:v>EPİAŞ su göstergesi eşleşmesi bulunamadı; Koordinat güvenilir açık kaynaktan doğrulanamadı; Kurulu güç bulunamadı; Eksik kurulu güç/il bilgisi kamuya açık web kaynağıyla tamamlandı; Ünite debisi doğrulanamadı; Maksimum/minimum hacim doğrulanamadı</x:v>
      </x:c>
    </x:row>
    <x:row r="148" ht="30" customHeight="1">
      <x:c r="A148" s="100" t="n">
        <x:v>145</x:v>
      </x:c>
      <x:c r="B148" s="32" t="str">
        <x:v>SIR HES</x:v>
      </x:c>
      <x:c r="C148" s="32" t="str">
        <x:v>Ceyhan</x:v>
      </x:c>
      <x:c r="D148" s="32" t="str">
        <x:v>Ceyhan</x:v>
      </x:c>
      <x:c r="E148" s="34" t="n">
        <x:v>20</x:v>
      </x:c>
      <x:c r="F148" s="32" t="str">
        <x:v>https://cbs1.tarimorman.gov.tr/server/rest/services/TATUS/FeatureServer/11/query?where=ID%3D20&amp;outFields=ID%2CHAVZA_ADI%2CALAN_KM2&amp;returnGeometry=true&amp;outSR=4326&amp;f=geojson</x:v>
      </x:c>
      <x:c r="G148" s="32" t="str">
        <x:v>SIR</x:v>
      </x:c>
      <x:c r="H148" s="32" t="str">
        <x:v>KAHRAMANMARAŞ</x:v>
      </x:c>
      <x:c r="I148" s="36" t="n">
        <x:v>37.501</x:v>
      </x:c>
      <x:c r="J148" s="36" t="n">
        <x:v>36.5968</x:v>
      </x:c>
      <x:c r="K148" s="38" t="n">
        <x:v>441</x:v>
      </x:c>
      <x:c r="L148" s="38" t="n">
        <x:v>417.5</x:v>
      </x:c>
      <x:c r="M148" s="32"/>
      <x:c r="N148" s="38" t="n">
        <x:v>283.5</x:v>
      </x:c>
      <x:c r="O148" s="38" t="n">
        <x:v>342.8</x:v>
      </x:c>
      <x:c r="P148" s="38" t="n">
        <x:v>1172.4</x:v>
      </x:c>
      <x:c r="Q148" s="38" t="n">
        <x:v>424.5</x:v>
      </x:c>
      <x:c r="R148" s="38" t="n">
        <x:v>510.79</x:v>
      </x:c>
      <x:c r="S148" s="38" t="n">
        <x:v>123.08</x:v>
      </x:c>
      <x:c r="T148" s="40" t="n">
        <x:v>46278.81434027778</x:v>
      </x:c>
      <x:c r="U148" s="32" t="str">
        <x:v>exact</x:v>
      </x:c>
      <x:c r="V148" s="32" t="str">
        <x:v>A</x:v>
      </x:c>
      <x:c r="W148" s="32" t="str">
        <x:v>Yüklü Debi_ve_Kurulu_Guc-13092026.xlsx</x:v>
      </x:c>
      <x:c r="X148" s="32" t="str">
        <x:v>Yüklü Debi_ve_Kurulu_Guc-13092026.xlsx</x:v>
      </x:c>
      <x:c r="Y148" s="32" t="str">
        <x:v>https://cbs1.tarimorman.gov.tr/server/rest/services/TATUS/FeatureServer/7</x:v>
      </x:c>
      <x:c r="Z148" s="32" t="str">
        <x:v>10</x:v>
      </x:c>
      <x:c r="AA148" s="101" t="str">
        <x:v>Kaskat alanında kaynak değeri '10' (belirsiz/sentinel)</x:v>
      </x:c>
    </x:row>
    <x:row r="149" ht="30" customHeight="1">
      <x:c r="A149" s="100" t="n">
        <x:v>146</x:v>
      </x:c>
      <x:c r="B149" s="32" t="str">
        <x:v>SIRIMTAŞ HES</x:v>
      </x:c>
      <x:c r="C149" s="32" t="str">
        <x:v>Fırat Dicle</x:v>
      </x:c>
      <x:c r="D149" s="32" t="str">
        <x:v>Fırat-Dicle</x:v>
      </x:c>
      <x:c r="E149" s="34" t="n">
        <x:v>21</x:v>
      </x:c>
      <x:c r="F149" s="32" t="str">
        <x:v>https://cbs1.tarimorman.gov.tr/server/rest/services/TATUS/FeatureServer/11/query?where=ID%3D21&amp;outFields=ID%2CHAVZA_ADI%2CALAN_KM2&amp;returnGeometry=true&amp;outSR=4326&amp;f=geojson</x:v>
      </x:c>
      <x:c r="G149" s="32" t="str">
        <x:v>SIRIMTAŞ HES</x:v>
      </x:c>
      <x:c r="H149" s="32" t="str">
        <x:v>ADIYAMAN</x:v>
      </x:c>
      <x:c r="I149" s="36"/>
      <x:c r="J149" s="36"/>
      <x:c r="K149" s="38" t="n">
        <x:v>861</x:v>
      </x:c>
      <x:c r="L149" s="38" t="n">
        <x:v>854.5</x:v>
      </x:c>
      <x:c r="M149" s="32" t="str">
        <x:v>ATATÜRK HES</x:v>
      </x:c>
      <x:c r="N149" s="38" t="n">
        <x:v>26</x:v>
      </x:c>
      <x:c r="O149" s="38" t="n">
        <x:v>10</x:v>
      </x:c>
      <x:c r="P149" s="38" t="n">
        <x:v>35.22</x:v>
      </x:c>
      <x:c r="Q149" s="38" t="n">
        <x:v>27.47</x:v>
      </x:c>
      <x:c r="R149" s="38"/>
      <x:c r="S149" s="38"/>
      <x:c r="T149" s="40" t="n">
        <x:v>46278.81434027778</x:v>
      </x:c>
      <x:c r="U149" s="32" t="str">
        <x:v>exact</x:v>
      </x:c>
      <x:c r="V149" s="32" t="str">
        <x:v>B</x:v>
      </x:c>
      <x:c r="W149" s="32" t="str">
        <x:v>Yüklü Debi_ve_Kurulu_Guc-13092026.xlsx</x:v>
      </x:c>
      <x:c r="X149" s="32" t="str">
        <x:v>Yüklü Debi_ve_Kurulu_Guc-13092026.xlsx</x:v>
      </x:c>
      <x:c r="Y149" s="32"/>
      <x:c r="Z149" s="32" t="str">
        <x:v>ATATÜRK HES</x:v>
      </x:c>
      <x:c r="AA149" s="101" t="str">
        <x:v>Koordinat güvenilir açık kaynaktan doğrulanamadı</x:v>
      </x:c>
    </x:row>
    <x:row r="150" ht="30" customHeight="1">
      <x:c r="A150" s="100" t="n">
        <x:v>147</x:v>
      </x:c>
      <x:c r="B150" s="32" t="str">
        <x:v>SİLOPİ HES</x:v>
      </x:c>
      <x:c r="C150" s="32" t="str">
        <x:v>Fırat Dicle</x:v>
      </x:c>
      <x:c r="D150" s="32" t="str">
        <x:v>Fırat-Dicle</x:v>
      </x:c>
      <x:c r="E150" s="34" t="n">
        <x:v>21</x:v>
      </x:c>
      <x:c r="F150" s="32" t="str">
        <x:v>https://cbs1.tarimorman.gov.tr/server/rest/services/TATUS/FeatureServer/11/query?where=ID%3D21&amp;outFields=ID%2CHAVZA_ADI%2CALAN_KM2&amp;returnGeometry=true&amp;outSR=4326&amp;f=geojson</x:v>
      </x:c>
      <x:c r="G150" s="32" t="str">
        <x:v>SİLOPİ</x:v>
      </x:c>
      <x:c r="H150" s="32" t="str">
        <x:v>ŞIRNAK</x:v>
      </x:c>
      <x:c r="I150" s="36"/>
      <x:c r="J150" s="36"/>
      <x:c r="K150" s="38" t="n">
        <x:v>657.7</x:v>
      </x:c>
      <x:c r="L150" s="38" t="n">
        <x:v>631</x:v>
      </x:c>
      <x:c r="M150" s="32"/>
      <x:c r="N150" s="38" t="n">
        <x:v>2.376</x:v>
      </x:c>
      <x:c r="O150" s="38"/>
      <x:c r="P150" s="38"/>
      <x:c r="Q150" s="38"/>
      <x:c r="R150" s="38"/>
      <x:c r="S150" s="38"/>
      <x:c r="T150" s="40"/>
      <x:c r="U150" s="32" t="str">
        <x:v>eşleşme yok</x:v>
      </x:c>
      <x:c r="V150" s="32" t="str">
        <x:v>C</x:v>
      </x:c>
      <x:c r="W150" s="32" t="str">
        <x:v>https://webdosya.csb.gov.tr/db/ced/icerikler/sirnak_-cdr2023-20240705110218.pdf</x:v>
      </x:c>
      <x:c r="X150" s="32" t="str">
        <x:v>https://webdosya.csb.gov.tr/db/ced/icerikler/sirnak_-cdr2023-20240705110218.pdf</x:v>
      </x:c>
      <x:c r="Y150" s="32"/>
      <x:c r="Z150" s="32" t="str">
        <x:v>10</x:v>
      </x:c>
      <x:c r="AA150" s="101" t="str">
        <x:v>EPİAŞ su göstergesi eşleşmesi bulunamadı; Kaskat alanında kaynak değeri '10' (belirsiz/sentinel); Koordinat güvenilir açık kaynaktan doğrulanamadı; Kurulu güç bulunamadı; Eksik kurulu güç/il bilgisi kamuya açık web kaynağıyla tamamlandı; Kurulu güç kamu kaynağıyla doğrulandı; Ünite debisi doğrulanamadı; Maksimum/minimum hacim doğrulanamadı</x:v>
      </x:c>
    </x:row>
    <x:row r="151" ht="30" customHeight="1">
      <x:c r="A151" s="100" t="n">
        <x:v>148</x:v>
      </x:c>
      <x:c r="B151" s="32" t="str">
        <x:v>SUAT UĞURLU HES</x:v>
      </x:c>
      <x:c r="C151" s="32" t="str">
        <x:v>Yeşilırmak</x:v>
      </x:c>
      <x:c r="D151" s="32" t="str">
        <x:v>Yeşilırmak</x:v>
      </x:c>
      <x:c r="E151" s="34" t="n">
        <x:v>14</x:v>
      </x:c>
      <x:c r="F151" s="32" t="str">
        <x:v>https://cbs1.tarimorman.gov.tr/server/rest/services/TATUS/FeatureServer/11/query?where=ID%3D14&amp;outFields=ID%2CHAVZA_ADI%2CALAN_KM2&amp;returnGeometry=true&amp;outSR=4326&amp;f=geojson</x:v>
      </x:c>
      <x:c r="G151" s="32" t="str">
        <x:v>S.UĞURLU</x:v>
      </x:c>
      <x:c r="H151" s="32" t="str">
        <x:v>SAMSUN</x:v>
      </x:c>
      <x:c r="I151" s="36" t="n">
        <x:v>41.07479</x:v>
      </x:c>
      <x:c r="J151" s="36" t="n">
        <x:v>36.67091</x:v>
      </x:c>
      <x:c r="K151" s="38" t="n">
        <x:v>61.5</x:v>
      </x:c>
      <x:c r="L151" s="38" t="n">
        <x:v>58.5</x:v>
      </x:c>
      <x:c r="M151" s="32"/>
      <x:c r="N151" s="38" t="n">
        <x:v>69</x:v>
      </x:c>
      <x:c r="O151" s="38" t="n">
        <x:v>239.7</x:v>
      </x:c>
      <x:c r="P151" s="38" t="n">
        <x:v>139.6</x:v>
      </x:c>
      <x:c r="Q151" s="38" t="n">
        <x:v>113.57</x:v>
      </x:c>
      <x:c r="R151" s="38" t="n">
        <x:v>16.19</x:v>
      </x:c>
      <x:c r="S151" s="38" t="n">
        <x:v>1.18</x:v>
      </x:c>
      <x:c r="T151" s="40" t="n">
        <x:v>46278.81434027778</x:v>
      </x:c>
      <x:c r="U151" s="32" t="str">
        <x:v>alias</x:v>
      </x:c>
      <x:c r="V151" s="32" t="str">
        <x:v>A</x:v>
      </x:c>
      <x:c r="W151" s="32" t="str">
        <x:v>Yüklü Debi_ve_Kurulu_Guc-13092026.xlsx</x:v>
      </x:c>
      <x:c r="X151" s="32" t="str">
        <x:v>Yüklü Debi_ve_Kurulu_Guc-13092026.xlsx</x:v>
      </x:c>
      <x:c r="Y151" s="32" t="str">
        <x:v>https://cbs1.tarimorman.gov.tr/server/rest/services/TATUS/FeatureServer/7</x:v>
      </x:c>
      <x:c r="Z151" s="32" t="str">
        <x:v>10</x:v>
      </x:c>
      <x:c r="AA151" s="101" t="str">
        <x:v>Baraj adı eşleşmesi: S.UĞURLU; Kaskat alanında kaynak değeri '10' (belirsiz/sentinel)</x:v>
      </x:c>
    </x:row>
    <x:row r="152" ht="30" customHeight="1">
      <x:c r="A152" s="100" t="n">
        <x:v>149</x:v>
      </x:c>
      <x:c r="B152" s="32" t="str">
        <x:v>SUÇATI HES KAHRAMANMARAŞ</x:v>
      </x:c>
      <x:c r="C152" s="32" t="str">
        <x:v>Ceyhan</x:v>
      </x:c>
      <x:c r="D152" s="32" t="str">
        <x:v>Ceyhan</x:v>
      </x:c>
      <x:c r="E152" s="34" t="n">
        <x:v>20</x:v>
      </x:c>
      <x:c r="F152" s="32" t="str">
        <x:v>https://cbs1.tarimorman.gov.tr/server/rest/services/TATUS/FeatureServer/11/query?where=ID%3D20&amp;outFields=ID%2CHAVZA_ADI%2CALAN_KM2&amp;returnGeometry=true&amp;outSR=4326&amp;f=geojson</x:v>
      </x:c>
      <x:c r="G152" s="32" t="str">
        <x:v>SUÇATI</x:v>
      </x:c>
      <x:c r="H152" s="32" t="str">
        <x:v>KAHRAMANMARAŞ</x:v>
      </x:c>
      <x:c r="I152" s="36"/>
      <x:c r="J152" s="36"/>
      <x:c r="K152" s="38" t="n">
        <x:v>644.3</x:v>
      </x:c>
      <x:c r="L152" s="38" t="n">
        <x:v>639.5</x:v>
      </x:c>
      <x:c r="M152" s="32" t="str">
        <x:v>MENZELET HES</x:v>
      </x:c>
      <x:c r="N152" s="38" t="n">
        <x:v>7</x:v>
      </x:c>
      <x:c r="O152" s="38" t="n">
        <x:v>26.6</x:v>
      </x:c>
      <x:c r="P152" s="38" t="n">
        <x:v>8.74</x:v>
      </x:c>
      <x:c r="Q152" s="38" t="n">
        <x:v>5.71</x:v>
      </x:c>
      <x:c r="R152" s="38"/>
      <x:c r="S152" s="38"/>
      <x:c r="T152" s="40" t="n">
        <x:v>46278.81434027778</x:v>
      </x:c>
      <x:c r="U152" s="32" t="str">
        <x:v>alias</x:v>
      </x:c>
      <x:c r="V152" s="32" t="str">
        <x:v>B</x:v>
      </x:c>
      <x:c r="W152" s="32" t="str">
        <x:v>Yüklü Debi_ve_Kurulu_Guc-13092026.xlsx</x:v>
      </x:c>
      <x:c r="X152" s="32" t="str">
        <x:v>Yüklü Debi_ve_Kurulu_Guc-13092026.xlsx</x:v>
      </x:c>
      <x:c r="Y152" s="32"/>
      <x:c r="Z152" s="32" t="str">
        <x:v>MENZELET HES</x:v>
      </x:c>
      <x:c r="AA152" s="101" t="str">
        <x:v>Baraj adı eşleşmesi: SUÇATI; Koordinat güvenilir açık kaynaktan doğrulanamadı</x:v>
      </x:c>
    </x:row>
    <x:row r="153" ht="30" customHeight="1">
      <x:c r="A153" s="100" t="n">
        <x:v>150</x:v>
      </x:c>
      <x:c r="B153" s="32" t="str">
        <x:v>SUŞEHRİ HES</x:v>
      </x:c>
      <x:c r="C153" s="32" t="str">
        <x:v>Yeşilırmak</x:v>
      </x:c>
      <x:c r="D153" s="32" t="str">
        <x:v>Yeşilırmak</x:v>
      </x:c>
      <x:c r="E153" s="34" t="n">
        <x:v>14</x:v>
      </x:c>
      <x:c r="F153" s="32" t="str">
        <x:v>https://cbs1.tarimorman.gov.tr/server/rest/services/TATUS/FeatureServer/11/query?where=ID%3D14&amp;outFields=ID%2CHAVZA_ADI%2CALAN_KM2&amp;returnGeometry=true&amp;outSR=4326&amp;f=geojson</x:v>
      </x:c>
      <x:c r="G153" s="32" t="str">
        <x:v>GÖLOVA</x:v>
      </x:c>
      <x:c r="H153" s="32" t="str">
        <x:v>SİVAS</x:v>
      </x:c>
      <x:c r="I153" s="36"/>
      <x:c r="J153" s="36"/>
      <x:c r="K153" s="38" t="n">
        <x:v>1293</x:v>
      </x:c>
      <x:c r="L153" s="38" t="n">
        <x:v>1280</x:v>
      </x:c>
      <x:c r="M153" s="32"/>
      <x:c r="N153" s="38" t="n">
        <x:v>1.1</x:v>
      </x:c>
      <x:c r="O153" s="38" t="n">
        <x:v>6</x:v>
      </x:c>
      <x:c r="P153" s="38" t="n">
        <x:v>64.4</x:v>
      </x:c>
      <x:c r="Q153" s="38" t="n">
        <x:v>14.5</x:v>
      </x:c>
      <x:c r="R153" s="38" t="n">
        <x:v>32.11</x:v>
      </x:c>
      <x:c r="S153" s="38" t="n">
        <x:v>1.23</x:v>
      </x:c>
      <x:c r="T153" s="40" t="n">
        <x:v>46278.81434027778</x:v>
      </x:c>
      <x:c r="U153" s="32" t="str">
        <x:v>alias</x:v>
      </x:c>
      <x:c r="V153" s="32" t="str">
        <x:v>B</x:v>
      </x:c>
      <x:c r="W153" s="32" t="str">
        <x:v>Yüklü Debi_ve_Kurulu_Guc-13092026.xlsx</x:v>
      </x:c>
      <x:c r="X153" s="32" t="str">
        <x:v>Yüklü Debi_ve_Kurulu_Guc-13092026.xlsx</x:v>
      </x:c>
      <x:c r="Y153" s="32"/>
      <x:c r="Z153" s="32" t="str">
        <x:v>10</x:v>
      </x:c>
      <x:c r="AA153" s="101" t="str">
        <x:v>Baraj adı eşleşmesi: GÖLOVA; Kaskat alanında kaynak değeri '10' (belirsiz/sentinel); Koordinat güvenilir açık kaynaktan doğrulanamadı</x:v>
      </x:c>
    </x:row>
    <x:row r="154" ht="30" customHeight="1">
      <x:c r="A154" s="100" t="n">
        <x:v>151</x:v>
      </x:c>
      <x:c r="B154" s="32" t="str">
        <x:v>SÜMER HES</x:v>
      </x:c>
      <x:c r="C154" s="32" t="str">
        <x:v>Yeşilırmak</x:v>
      </x:c>
      <x:c r="D154" s="32" t="str">
        <x:v>Yeşilırmak</x:v>
      </x:c>
      <x:c r="E154" s="34" t="n">
        <x:v>14</x:v>
      </x:c>
      <x:c r="F154" s="32" t="str">
        <x:v>https://cbs1.tarimorman.gov.tr/server/rest/services/TATUS/FeatureServer/11/query?where=ID%3D14&amp;outFields=ID%2CHAVZA_ADI%2CALAN_KM2&amp;returnGeometry=true&amp;outSR=4326&amp;f=geojson</x:v>
      </x:c>
      <x:c r="G154" s="32" t="str">
        <x:v>SÜMER</x:v>
      </x:c>
      <x:c r="H154" s="32" t="str">
        <x:v>GİRESUN</x:v>
      </x:c>
      <x:c r="I154" s="36"/>
      <x:c r="J154" s="36"/>
      <x:c r="K154" s="38" t="n">
        <x:v>1246</x:v>
      </x:c>
      <x:c r="L154" s="38" t="n">
        <x:v>1238</x:v>
      </x:c>
      <x:c r="M154" s="32"/>
      <x:c r="N154" s="38" t="n">
        <x:v>21.6</x:v>
      </x:c>
      <x:c r="O154" s="38"/>
      <x:c r="P154" s="38"/>
      <x:c r="Q154" s="38"/>
      <x:c r="R154" s="38"/>
      <x:c r="S154" s="38"/>
      <x:c r="T154" s="40"/>
      <x:c r="U154" s="32" t="str">
        <x:v>eşleşme yok</x:v>
      </x:c>
      <x:c r="V154" s="32" t="str">
        <x:v>C</x:v>
      </x:c>
      <x:c r="W154" s="32" t="str">
        <x:v>https://www.enerturk.com/kurumsal/faaliyetlerimiz/elektrik-uretim/hidroelektrik-santralleri-hes/sumer-hes</x:v>
      </x:c>
      <x:c r="X154" s="32" t="str">
        <x:v>https://openinframap.org/stats/area/Turkey/plants?source=hydro</x:v>
      </x:c>
      <x:c r="Y154" s="32"/>
      <x:c r="Z154" s="32" t="str">
        <x:v>10</x:v>
      </x:c>
      <x:c r="AA154" s="101" t="str">
        <x:v>EPİAŞ su göstergesi eşleşmesi bulunamadı; Kaskat alanında kaynak değeri '10' (belirsiz/sentinel); Koordinat güvenilir açık kaynaktan doğrulanamadı; Ünite debisi doğrulanamadı; Maksimum/minimum hacim doğrulanamadı</x:v>
      </x:c>
    </x:row>
    <x:row r="155" ht="30" customHeight="1">
      <x:c r="A155" s="100" t="n">
        <x:v>152</x:v>
      </x:c>
      <x:c r="B155" s="32" t="str">
        <x:v>ŞANLIURFA HES</x:v>
      </x:c>
      <x:c r="C155" s="32" t="str">
        <x:v>Fırat Dicle</x:v>
      </x:c>
      <x:c r="D155" s="32" t="str">
        <x:v>Fırat-Dicle</x:v>
      </x:c>
      <x:c r="E155" s="34" t="n">
        <x:v>21</x:v>
      </x:c>
      <x:c r="F155" s="32" t="str">
        <x:v>https://cbs1.tarimorman.gov.tr/server/rest/services/TATUS/FeatureServer/11/query?where=ID%3D21&amp;outFields=ID%2CHAVZA_ADI%2CALAN_KM2&amp;returnGeometry=true&amp;outSR=4326&amp;f=geojson</x:v>
      </x:c>
      <x:c r="G155" s="32" t="str">
        <x:v>ŞANLIURFA</x:v>
      </x:c>
      <x:c r="H155" s="32" t="str">
        <x:v>ŞANLIURFA</x:v>
      </x:c>
      <x:c r="I155" s="36"/>
      <x:c r="J155" s="36"/>
      <x:c r="K155" s="38" t="n">
        <x:v>0</x:v>
      </x:c>
      <x:c r="L155" s="38" t="n">
        <x:v>0</x:v>
      </x:c>
      <x:c r="M155" s="32"/>
      <x:c r="N155" s="38" t="n">
        <x:v>51</x:v>
      </x:c>
      <x:c r="O155" s="38"/>
      <x:c r="P155" s="38"/>
      <x:c r="Q155" s="38"/>
      <x:c r="R155" s="38"/>
      <x:c r="S155" s="38"/>
      <x:c r="T155" s="40"/>
      <x:c r="U155" s="32" t="str">
        <x:v>eşleşme yok</x:v>
      </x:c>
      <x:c r="V155" s="32" t="str">
        <x:v>C</x:v>
      </x:c>
      <x:c r="W155" s="32" t="str">
        <x:v>https://www.enerjiatlasi.com/hidroelektrik/?v=1.0.24</x:v>
      </x:c>
      <x:c r="X155" s="32" t="str">
        <x:v>https://openinframap.org/stats/area/Turkey/plants?source=hydro</x:v>
      </x:c>
      <x:c r="Y155" s="32"/>
      <x:c r="Z155" s="32" t="str">
        <x:v>10</x:v>
      </x:c>
      <x:c r="AA155" s="101" t="str">
        <x:v>EPİAŞ su göstergesi eşleşmesi bulunamadı; Kaskat alanında kaynak değeri '10' (belirsiz/sentinel); Koordinat güvenilir açık kaynaktan doğrulanamadı; Ünite debisi doğrulanamadı; Maksimum/minimum hacim doğrulanamadı</x:v>
      </x:c>
    </x:row>
    <x:row r="156" ht="30" customHeight="1">
      <x:c r="A156" s="100" t="n">
        <x:v>153</x:v>
      </x:c>
      <x:c r="B156" s="32" t="str">
        <x:v>ŞIRNAK HES</x:v>
      </x:c>
      <x:c r="C156" s="32" t="str">
        <x:v>Fırat Dicle</x:v>
      </x:c>
      <x:c r="D156" s="32" t="str">
        <x:v>Fırat-Dicle</x:v>
      </x:c>
      <x:c r="E156" s="34" t="n">
        <x:v>21</x:v>
      </x:c>
      <x:c r="F156" s="32" t="str">
        <x:v>https://cbs1.tarimorman.gov.tr/server/rest/services/TATUS/FeatureServer/11/query?where=ID%3D21&amp;outFields=ID%2CHAVZA_ADI%2CALAN_KM2&amp;returnGeometry=true&amp;outSR=4326&amp;f=geojson</x:v>
      </x:c>
      <x:c r="G156" s="32" t="str">
        <x:v>ŞIRNAK</x:v>
      </x:c>
      <x:c r="H156" s="32" t="str">
        <x:v>ŞIRNAK</x:v>
      </x:c>
      <x:c r="I156" s="36"/>
      <x:c r="J156" s="36"/>
      <x:c r="K156" s="38" t="n">
        <x:v>810.51</x:v>
      </x:c>
      <x:c r="L156" s="38" t="n">
        <x:v>791</x:v>
      </x:c>
      <x:c r="M156" s="32" t="str">
        <x:v>SİLOPİ HES</x:v>
      </x:c>
      <x:c r="N156" s="38" t="n">
        <x:v>4.95</x:v>
      </x:c>
      <x:c r="O156" s="38"/>
      <x:c r="P156" s="38"/>
      <x:c r="Q156" s="38"/>
      <x:c r="R156" s="38"/>
      <x:c r="S156" s="38"/>
      <x:c r="T156" s="40"/>
      <x:c r="U156" s="32" t="str">
        <x:v>eşleşme yok</x:v>
      </x:c>
      <x:c r="V156" s="32" t="str">
        <x:v>C</x:v>
      </x:c>
      <x:c r="W156" s="32" t="str">
        <x:v>https://enerji.dsi.gov.tr/Haber/Detay/844</x:v>
      </x:c>
      <x:c r="X156" s="32" t="str">
        <x:v>https://enerji.dsi.gov.tr/Haber/Detay/844</x:v>
      </x:c>
      <x:c r="Y156" s="32"/>
      <x:c r="Z156" s="32" t="str">
        <x:v>SİLOPİ HES</x:v>
      </x:c>
      <x:c r="AA156" s="101" t="str">
        <x:v>EPİAŞ su göstergesi eşleşmesi bulunamadı; Koordinat güvenilir açık kaynaktan doğrulanamadı; Kurulu güç bulunamadı; Eksik kurulu güç/il bilgisi kamuya açık web kaynağıyla tamamlandı; Ünite debisi doğrulanamadı; Maksimum/minimum hacim doğrulanamadı</x:v>
      </x:c>
    </x:row>
    <x:row r="157" ht="30" customHeight="1">
      <x:c r="A157" s="100" t="n">
        <x:v>154</x:v>
      </x:c>
      <x:c r="B157" s="32" t="str">
        <x:v>ŞİRVAN HES</x:v>
      </x:c>
      <x:c r="C157" s="32" t="str">
        <x:v>Fırat Dicle</x:v>
      </x:c>
      <x:c r="D157" s="32" t="str">
        <x:v>Fırat-Dicle</x:v>
      </x:c>
      <x:c r="E157" s="34" t="n">
        <x:v>21</x:v>
      </x:c>
      <x:c r="F157" s="32" t="str">
        <x:v>https://cbs1.tarimorman.gov.tr/server/rest/services/TATUS/FeatureServer/11/query?where=ID%3D21&amp;outFields=ID%2CHAVZA_ADI%2CALAN_KM2&amp;returnGeometry=true&amp;outSR=4326&amp;f=geojson</x:v>
      </x:c>
      <x:c r="G157" s="32" t="str">
        <x:v>ŞİRVAN</x:v>
      </x:c>
      <x:c r="H157" s="32" t="str">
        <x:v>SİİRT</x:v>
      </x:c>
      <x:c r="I157" s="36"/>
      <x:c r="J157" s="36"/>
      <x:c r="K157" s="38" t="n">
        <x:v>688</x:v>
      </x:c>
      <x:c r="L157" s="38" t="n">
        <x:v>667</x:v>
      </x:c>
      <x:c r="M157" s="32" t="str">
        <x:v>ILISU HES</x:v>
      </x:c>
      <x:c r="N157" s="38" t="n">
        <x:v>30</x:v>
      </x:c>
      <x:c r="O157" s="38"/>
      <x:c r="P157" s="38"/>
      <x:c r="Q157" s="38"/>
      <x:c r="R157" s="38"/>
      <x:c r="S157" s="38"/>
      <x:c r="T157" s="40"/>
      <x:c r="U157" s="32" t="str">
        <x:v>eşleşme yok</x:v>
      </x:c>
      <x:c r="V157" s="32" t="str">
        <x:v>C</x:v>
      </x:c>
      <x:c r="W157" s="32" t="str">
        <x:v>https://www.enerjiatlasi.com/hidroelektrik/?v=1.0.24</x:v>
      </x:c>
      <x:c r="X157" s="32" t="str">
        <x:v>https://openinframap.org/stats/area/Turkey/plants?source=hydro</x:v>
      </x:c>
      <x:c r="Y157" s="32"/>
      <x:c r="Z157" s="32" t="str">
        <x:v>ILISU HES</x:v>
      </x:c>
      <x:c r="AA157" s="101" t="str">
        <x:v>EPİAŞ su göstergesi eşleşmesi bulunamadı; Koordinat güvenilir açık kaynaktan doğrulanamadı; Ünite debisi doğrulanamadı; Maksimum/minimum hacim doğrulanamadı</x:v>
      </x:c>
    </x:row>
    <x:row r="158" ht="30" customHeight="1">
      <x:c r="A158" s="100" t="n">
        <x:v>155</x:v>
      </x:c>
      <x:c r="B158" s="32" t="str">
        <x:v>TATAR HES</x:v>
      </x:c>
      <x:c r="C158" s="32" t="str">
        <x:v>Fırat Dicle</x:v>
      </x:c>
      <x:c r="D158" s="32" t="str">
        <x:v>Fırat-Dicle</x:v>
      </x:c>
      <x:c r="E158" s="34" t="n">
        <x:v>21</x:v>
      </x:c>
      <x:c r="F158" s="32" t="str">
        <x:v>https://cbs1.tarimorman.gov.tr/server/rest/services/TATUS/FeatureServer/11/query?where=ID%3D21&amp;outFields=ID%2CHAVZA_ADI%2CALAN_KM2&amp;returnGeometry=true&amp;outSR=4326&amp;f=geojson</x:v>
      </x:c>
      <x:c r="G158" s="32" t="str">
        <x:v>TATAR</x:v>
      </x:c>
      <x:c r="H158" s="32" t="str">
        <x:v>ELAZIĞ</x:v>
      </x:c>
      <x:c r="I158" s="36"/>
      <x:c r="J158" s="36"/>
      <x:c r="K158" s="38" t="n">
        <x:v>915</x:v>
      </x:c>
      <x:c r="L158" s="38" t="n">
        <x:v>909.5</x:v>
      </x:c>
      <x:c r="M158" s="32" t="str">
        <x:v>KEBAN HES</x:v>
      </x:c>
      <x:c r="N158" s="38" t="n">
        <x:v>128</x:v>
      </x:c>
      <x:c r="O158" s="38"/>
      <x:c r="P158" s="38"/>
      <x:c r="Q158" s="38"/>
      <x:c r="R158" s="38"/>
      <x:c r="S158" s="38"/>
      <x:c r="T158" s="40"/>
      <x:c r="U158" s="32" t="str">
        <x:v>eşleşme yok</x:v>
      </x:c>
      <x:c r="V158" s="32" t="str">
        <x:v>C</x:v>
      </x:c>
      <x:c r="W158" s="32" t="str">
        <x:v>https://www.enerjiatlasi.com/hidroelektrik/?v=1.0.24</x:v>
      </x:c>
      <x:c r="X158" s="32" t="str">
        <x:v>https://openinframap.org/stats/area/Turkey/plants?source=hydro</x:v>
      </x:c>
      <x:c r="Y158" s="32"/>
      <x:c r="Z158" s="32" t="str">
        <x:v>KEBAN HES</x:v>
      </x:c>
      <x:c r="AA158" s="101" t="str">
        <x:v>EPİAŞ su göstergesi eşleşmesi bulunamadı; Koordinat güvenilir açık kaynaktan doğrulanamadı; Ünite debisi doğrulanamadı; Maksimum/minimum hacim doğrulanamadı</x:v>
      </x:c>
    </x:row>
    <x:row r="159" ht="30" customHeight="1">
      <x:c r="A159" s="100" t="n">
        <x:v>156</x:v>
      </x:c>
      <x:c r="B159" s="32" t="str">
        <x:v>TEPEKIŞLA HES</x:v>
      </x:c>
      <x:c r="C159" s="32" t="str">
        <x:v>Yeşilırmak</x:v>
      </x:c>
      <x:c r="D159" s="32" t="str">
        <x:v>Yeşilırmak</x:v>
      </x:c>
      <x:c r="E159" s="34" t="n">
        <x:v>14</x:v>
      </x:c>
      <x:c r="F159" s="32" t="str">
        <x:v>https://cbs1.tarimorman.gov.tr/server/rest/services/TATUS/FeatureServer/11/query?where=ID%3D14&amp;outFields=ID%2CHAVZA_ADI%2CALAN_KM2&amp;returnGeometry=true&amp;outSR=4326&amp;f=geojson</x:v>
      </x:c>
      <x:c r="G159" s="32" t="str">
        <x:v>TEPEKIŞLA</x:v>
      </x:c>
      <x:c r="H159" s="32" t="str">
        <x:v>TOKAT</x:v>
      </x:c>
      <x:c r="I159" s="36" t="n">
        <x:v>40.66143</x:v>
      </x:c>
      <x:c r="J159" s="36" t="n">
        <x:v>36.70252</x:v>
      </x:c>
      <x:c r="K159" s="38" t="n">
        <x:v>252.5</x:v>
      </x:c>
      <x:c r="L159" s="38" t="n">
        <x:v>245.8</x:v>
      </x:c>
      <x:c r="M159" s="32"/>
      <x:c r="N159" s="38" t="n">
        <x:v>10</x:v>
      </x:c>
      <x:c r="O159" s="38" t="n">
        <x:v>213</x:v>
      </x:c>
      <x:c r="P159" s="38" t="n">
        <x:v>33.11</x:v>
      </x:c>
      <x:c r="Q159" s="38" t="n">
        <x:v>20.15</x:v>
      </x:c>
      <x:c r="R159" s="38" t="n">
        <x:v>10.41</x:v>
      </x:c>
      <x:c r="S159" s="38" t="n">
        <x:v>1.05</x:v>
      </x:c>
      <x:c r="T159" s="40" t="n">
        <x:v>46278.81434027778</x:v>
      </x:c>
      <x:c r="U159" s="32" t="str">
        <x:v>exact</x:v>
      </x:c>
      <x:c r="V159" s="32" t="str">
        <x:v>A</x:v>
      </x:c>
      <x:c r="W159" s="32" t="str">
        <x:v>Yüklü Debi_ve_Kurulu_Guc-13092026.xlsx</x:v>
      </x:c>
      <x:c r="X159" s="32" t="str">
        <x:v>Yüklü Debi_ve_Kurulu_Guc-13092026.xlsx</x:v>
      </x:c>
      <x:c r="Y159" s="32" t="str">
        <x:v>https://cbs1.tarimorman.gov.tr/server/rest/services/TATUS/FeatureServer/7</x:v>
      </x:c>
      <x:c r="Z159" s="32" t="str">
        <x:v>10</x:v>
      </x:c>
      <x:c r="AA159" s="101" t="str">
        <x:v>Kaskat alanında kaynak değeri '10' (belirsiz/sentinel)</x:v>
      </x:c>
    </x:row>
    <x:row r="160" ht="30" customHeight="1">
      <x:c r="A160" s="100" t="n">
        <x:v>157</x:v>
      </x:c>
      <x:c r="B160" s="32" t="str">
        <x:v>TERCAN HES</x:v>
      </x:c>
      <x:c r="C160" s="32" t="str">
        <x:v>Fırat Dicle</x:v>
      </x:c>
      <x:c r="D160" s="32" t="str">
        <x:v>Fırat-Dicle</x:v>
      </x:c>
      <x:c r="E160" s="34" t="n">
        <x:v>21</x:v>
      </x:c>
      <x:c r="F160" s="32" t="str">
        <x:v>https://cbs1.tarimorman.gov.tr/server/rest/services/TATUS/FeatureServer/11/query?where=ID%3D21&amp;outFields=ID%2CHAVZA_ADI%2CALAN_KM2&amp;returnGeometry=true&amp;outSR=4326&amp;f=geojson</x:v>
      </x:c>
      <x:c r="G160" s="32" t="str">
        <x:v>TERCAN</x:v>
      </x:c>
      <x:c r="H160" s="32" t="str">
        <x:v>ERZİNCAN</x:v>
      </x:c>
      <x:c r="I160" s="36"/>
      <x:c r="J160" s="36"/>
      <x:c r="K160" s="38" t="n">
        <x:v>1463</x:v>
      </x:c>
      <x:c r="L160" s="38" t="n">
        <x:v>1444.1</x:v>
      </x:c>
      <x:c r="M160" s="32" t="str">
        <x:v>BAĞIŞTAŞ1 HES</x:v>
      </x:c>
      <x:c r="N160" s="38" t="n">
        <x:v>16.9</x:v>
      </x:c>
      <x:c r="O160" s="38"/>
      <x:c r="P160" s="38"/>
      <x:c r="Q160" s="38"/>
      <x:c r="R160" s="38"/>
      <x:c r="S160" s="38"/>
      <x:c r="T160" s="40"/>
      <x:c r="U160" s="32" t="str">
        <x:v>eşleşme yok</x:v>
      </x:c>
      <x:c r="V160" s="32" t="str">
        <x:v>C</x:v>
      </x:c>
      <x:c r="W160" s="32" t="str">
        <x:v>https://openinframap.org/stats/area/Turkey/plants?source=hydro</x:v>
      </x:c>
      <x:c r="X160" s="32" t="str">
        <x:v>https://openinframap.org/stats/area/Turkey/plants?source=hydro</x:v>
      </x:c>
      <x:c r="Y160" s="32"/>
      <x:c r="Z160" s="32" t="str">
        <x:v>BAĞIŞTAŞ1 HES</x:v>
      </x:c>
      <x:c r="AA160" s="101" t="str">
        <x:v>EPİAŞ su göstergesi eşleşmesi bulunamadı; Koordinat güvenilir açık kaynaktan doğrulanamadı; Ünite debisi doğrulanamadı; Maksimum/minimum hacim doğrulanamadı</x:v>
      </x:c>
    </x:row>
    <x:row r="161" ht="30" customHeight="1">
      <x:c r="A161" s="100" t="n">
        <x:v>158</x:v>
      </x:c>
      <x:c r="B161" s="32" t="str">
        <x:v>TOCAK I HES</x:v>
      </x:c>
      <x:c r="C161" s="32" t="str">
        <x:v>Batı Akdeniz</x:v>
      </x:c>
      <x:c r="D161" s="32" t="str">
        <x:v>Batı Akdeniz</x:v>
      </x:c>
      <x:c r="E161" s="34" t="n">
        <x:v>8</x:v>
      </x:c>
      <x:c r="F161" s="32" t="str">
        <x:v>https://cbs1.tarimorman.gov.tr/server/rest/services/TATUS/FeatureServer/11/query?where=ID%3D8&amp;outFields=ID%2CHAVZA_ADI%2CALAN_KM2&amp;returnGeometry=true&amp;outSR=4326&amp;f=geojson</x:v>
      </x:c>
      <x:c r="G161" s="32" t="str">
        <x:v>TOCAK I</x:v>
      </x:c>
      <x:c r="H161" s="32" t="str">
        <x:v>ANTALYA</x:v>
      </x:c>
      <x:c r="I161" s="36"/>
      <x:c r="J161" s="36"/>
      <x:c r="K161" s="38" t="n">
        <x:v>138.5</x:v>
      </x:c>
      <x:c r="L161" s="38" t="n">
        <x:v>120.5</x:v>
      </x:c>
      <x:c r="M161" s="32"/>
      <x:c r="N161" s="38" t="n">
        <x:v>4.76</x:v>
      </x:c>
      <x:c r="O161" s="38"/>
      <x:c r="P161" s="38"/>
      <x:c r="Q161" s="38"/>
      <x:c r="R161" s="38"/>
      <x:c r="S161" s="38"/>
      <x:c r="T161" s="40"/>
      <x:c r="U161" s="32" t="str">
        <x:v>eşleşme yok</x:v>
      </x:c>
      <x:c r="V161" s="32" t="str">
        <x:v>C</x:v>
      </x:c>
      <x:c r="W161" s="32" t="str">
        <x:v>https://csenergy.csglobal.com.tr/tesislerimiz</x:v>
      </x:c>
      <x:c r="X161" s="32" t="str">
        <x:v>https://csenergy.csglobal.com.tr/tesislerimiz</x:v>
      </x:c>
      <x:c r="Y161" s="32"/>
      <x:c r="Z161" s="32" t="str">
        <x:v>10</x:v>
      </x:c>
      <x:c r="AA161" s="101" t="str">
        <x:v>EPİAŞ su göstergesi eşleşmesi bulunamadı; Kaskat alanında kaynak değeri '10' (belirsiz/sentinel); Koordinat güvenilir açık kaynaktan doğrulanamadı; Kurulu güç bulunamadı; Eksik kurulu güç/il bilgisi kamuya açık web kaynağıyla tamamlandı; Ünite debisi doğrulanamadı; Maksimum/minimum hacim doğrulanamadı</x:v>
      </x:c>
    </x:row>
    <x:row r="162" ht="30" customHeight="1">
      <x:c r="A162" s="100" t="n">
        <x:v>159</x:v>
      </x:c>
      <x:c r="B162" s="32" t="str">
        <x:v>TOKAT AKINCI HES</x:v>
      </x:c>
      <x:c r="C162" s="32" t="str">
        <x:v>Yeşilırmak</x:v>
      </x:c>
      <x:c r="D162" s="32" t="str">
        <x:v>Yeşilırmak</x:v>
      </x:c>
      <x:c r="E162" s="34" t="n">
        <x:v>14</x:v>
      </x:c>
      <x:c r="F162" s="32" t="str">
        <x:v>https://cbs1.tarimorman.gov.tr/server/rest/services/TATUS/FeatureServer/11/query?where=ID%3D14&amp;outFields=ID%2CHAVZA_ADI%2CALAN_KM2&amp;returnGeometry=true&amp;outSR=4326&amp;f=geojson</x:v>
      </x:c>
      <x:c r="G162" s="32" t="str">
        <x:v>TOKAT AKINCI</x:v>
      </x:c>
      <x:c r="H162" s="32" t="str">
        <x:v>TOKAT</x:v>
      </x:c>
      <x:c r="I162" s="36"/>
      <x:c r="J162" s="36"/>
      <x:c r="K162" s="38" t="n">
        <x:v>484</x:v>
      </x:c>
      <x:c r="L162" s="38" t="n">
        <x:v>482</x:v>
      </x:c>
      <x:c r="M162" s="32"/>
      <x:c r="N162" s="38" t="n">
        <x:v>99</x:v>
      </x:c>
      <x:c r="O162" s="38"/>
      <x:c r="P162" s="38"/>
      <x:c r="Q162" s="38"/>
      <x:c r="R162" s="38"/>
      <x:c r="S162" s="38"/>
      <x:c r="T162" s="40"/>
      <x:c r="U162" s="32" t="str">
        <x:v>eşleşme yok</x:v>
      </x:c>
      <x:c r="V162" s="32" t="str">
        <x:v>C</x:v>
      </x:c>
      <x:c r="W162" s="32" t="str">
        <x:v>https://news-content.foreks.com/attachments/kap/4028328d9c81f589019cb50969282455.pdf</x:v>
      </x:c>
      <x:c r="X162" s="32" t="str">
        <x:v>https://news-content.foreks.com/attachments/kap/4028328d9c81f589019cb50969282455.pdf</x:v>
      </x:c>
      <x:c r="Y162" s="32"/>
      <x:c r="Z162" s="32" t="str">
        <x:v>10</x:v>
      </x:c>
      <x:c r="AA162" s="101" t="str">
        <x:v>EPİAŞ su göstergesi eşleşmesi bulunamadı; Kaskat alanında kaynak değeri '10' (belirsiz/sentinel); Koordinat güvenilir açık kaynaktan doğrulanamadı; Kurulu güç bulunamadı; Eksik kurulu güç/il bilgisi kamuya açık web kaynağıyla tamamlandı; Ünite debisi doğrulanamadı; Maksimum/minimum hacim doğrulanamadı</x:v>
      </x:c>
    </x:row>
    <x:row r="163" ht="30" customHeight="1">
      <x:c r="A163" s="100" t="n">
        <x:v>160</x:v>
      </x:c>
      <x:c r="B163" s="32" t="str">
        <x:v>TOPÇAM HES</x:v>
      </x:c>
      <x:c r="C163" s="32" t="str">
        <x:v>Doğu Karadeniz</x:v>
      </x:c>
      <x:c r="D163" s="32" t="str">
        <x:v>Doğu Karadeniz</x:v>
      </x:c>
      <x:c r="E163" s="34" t="n">
        <x:v>22</x:v>
      </x:c>
      <x:c r="F163" s="32" t="str">
        <x:v>https://cbs1.tarimorman.gov.tr/server/rest/services/TATUS/FeatureServer/11/query?where=ID%3D22&amp;outFields=ID%2CHAVZA_ADI%2CALAN_KM2&amp;returnGeometry=true&amp;outSR=4326&amp;f=geojson</x:v>
      </x:c>
      <x:c r="G163" s="32" t="str">
        <x:v>TOPÇAM-ORDU</x:v>
      </x:c>
      <x:c r="H163" s="32" t="str">
        <x:v>ORDU</x:v>
      </x:c>
      <x:c r="I163" s="36"/>
      <x:c r="J163" s="36"/>
      <x:c r="K163" s="38" t="n">
        <x:v>910</x:v>
      </x:c>
      <x:c r="L163" s="38" t="n">
        <x:v>854.5</x:v>
      </x:c>
      <x:c r="M163" s="32"/>
      <x:c r="N163" s="38" t="n">
        <x:v>60</x:v>
      </x:c>
      <x:c r="O163" s="38" t="n">
        <x:v>30.6</x:v>
      </x:c>
      <x:c r="P163" s="38" t="n">
        <x:v>132.88</x:v>
      </x:c>
      <x:c r="Q163" s="38" t="n">
        <x:v>22</x:v>
      </x:c>
      <x:c r="R163" s="38" t="n">
        <x:v>53.53</x:v>
      </x:c>
      <x:c r="S163" s="38" t="n">
        <x:v>33.46</x:v>
      </x:c>
      <x:c r="T163" s="40" t="n">
        <x:v>46278.81434027778</x:v>
      </x:c>
      <x:c r="U163" s="32" t="str">
        <x:v>water-level</x:v>
      </x:c>
      <x:c r="V163" s="32" t="str">
        <x:v>B</x:v>
      </x:c>
      <x:c r="W163" s="32" t="str">
        <x:v>Yüklü Debi_ve_Kurulu_Guc-13092026.xlsx</x:v>
      </x:c>
      <x:c r="X163" s="32" t="str">
        <x:v>Yüklü Debi_ve_Kurulu_Guc-13092026.xlsx</x:v>
      </x:c>
      <x:c r="Y163" s="32"/>
      <x:c r="Z163" s="32" t="str">
        <x:v>10</x:v>
      </x:c>
      <x:c r="AA163" s="101" t="str">
        <x:v>Baraj eşleşmesi max/min kot üzerinden: TOPÇAM-ORDU; Kaskat alanında kaynak değeri '10' (belirsiz/sentinel); Koordinat güvenilir açık kaynaktan doğrulanamadı</x:v>
      </x:c>
    </x:row>
    <x:row r="164" ht="30" customHeight="1">
      <x:c r="A164" s="100" t="n">
        <x:v>161</x:v>
      </x:c>
      <x:c r="B164" s="32" t="str">
        <x:v>TORTUM HES</x:v>
      </x:c>
      <x:c r="C164" s="32" t="str">
        <x:v>Çoruh</x:v>
      </x:c>
      <x:c r="D164" s="32" t="str">
        <x:v>Çoruh</x:v>
      </x:c>
      <x:c r="E164" s="34" t="n">
        <x:v>23</x:v>
      </x:c>
      <x:c r="F164" s="32" t="str">
        <x:v>https://cbs1.tarimorman.gov.tr/server/rest/services/TATUS/FeatureServer/11/query?where=ID%3D23&amp;outFields=ID%2CHAVZA_ADI%2CALAN_KM2&amp;returnGeometry=true&amp;outSR=4326&amp;f=geojson</x:v>
      </x:c>
      <x:c r="G164" s="32" t="str">
        <x:v>TORTUM</x:v>
      </x:c>
      <x:c r="H164" s="32" t="str">
        <x:v>ERZURUM</x:v>
      </x:c>
      <x:c r="I164" s="36"/>
      <x:c r="J164" s="36"/>
      <x:c r="K164" s="38" t="n">
        <x:v>998.5</x:v>
      </x:c>
      <x:c r="L164" s="38" t="n">
        <x:v>989.8</x:v>
      </x:c>
      <x:c r="M164" s="32" t="str">
        <x:v>YUSUFELİ HES</x:v>
      </x:c>
      <x:c r="N164" s="38" t="n">
        <x:v>26.2</x:v>
      </x:c>
      <x:c r="O164" s="38"/>
      <x:c r="P164" s="38"/>
      <x:c r="Q164" s="38"/>
      <x:c r="R164" s="38"/>
      <x:c r="S164" s="38"/>
      <x:c r="T164" s="40"/>
      <x:c r="U164" s="32" t="str">
        <x:v>eşleşme yok</x:v>
      </x:c>
      <x:c r="V164" s="32" t="str">
        <x:v>C</x:v>
      </x:c>
      <x:c r="W164" s="32" t="str">
        <x:v>https://www.evrensel.net/haber/5986783/dicle-ve-firat-havzalari-cevre-tahribati-kusatmasinda-244-hes-ve-ges-faaliyette-yuzlercesi-proje-asamasinda</x:v>
      </x:c>
      <x:c r="X164" s="32" t="str">
        <x:v>https://www.evrensel.net/haber/5986783/dicle-ve-firat-havzalari-cevre-tahribati-kusatmasinda-244-hes-ve-ges-faaliyette-yuzlercesi-proje-asamasinda</x:v>
      </x:c>
      <x:c r="Y164" s="32"/>
      <x:c r="Z164" s="32" t="str">
        <x:v>YUSUFELİ HES</x:v>
      </x:c>
      <x:c r="AA164" s="101" t="str">
        <x:v>EPİAŞ su göstergesi eşleşmesi bulunamadı; Koordinat güvenilir açık kaynaktan doğrulanamadı; Kurulu güç bulunamadı; Eksik kurulu güç/il bilgisi kamuya açık web kaynağıyla tamamlandı; Ünite debisi doğrulanamadı; Maksimum/minimum hacim doğrulanamadı</x:v>
      </x:c>
    </x:row>
    <x:row r="165" ht="30" customHeight="1">
      <x:c r="A165" s="100" t="n">
        <x:v>162</x:v>
      </x:c>
      <x:c r="B165" s="32" t="str">
        <x:v>TORUL HES</x:v>
      </x:c>
      <x:c r="C165" s="32" t="str">
        <x:v>Doğu Karadeniz</x:v>
      </x:c>
      <x:c r="D165" s="32" t="str">
        <x:v>Doğu Karadeniz</x:v>
      </x:c>
      <x:c r="E165" s="34" t="n">
        <x:v>22</x:v>
      </x:c>
      <x:c r="F165" s="32" t="str">
        <x:v>https://cbs1.tarimorman.gov.tr/server/rest/services/TATUS/FeatureServer/11/query?where=ID%3D22&amp;outFields=ID%2CHAVZA_ADI%2CALAN_KM2&amp;returnGeometry=true&amp;outSR=4326&amp;f=geojson</x:v>
      </x:c>
      <x:c r="G165" s="32" t="str">
        <x:v>TORUL</x:v>
      </x:c>
      <x:c r="H165" s="32" t="str">
        <x:v>GÜMÜŞHANE</x:v>
      </x:c>
      <x:c r="I165" s="36" t="n">
        <x:v>40.63538</x:v>
      </x:c>
      <x:c r="J165" s="36" t="n">
        <x:v>39.23144</x:v>
      </x:c>
      <x:c r="K165" s="38" t="n">
        <x:v>917</x:v>
      </x:c>
      <x:c r="L165" s="38" t="n">
        <x:v>890</x:v>
      </x:c>
      <x:c r="M165" s="32" t="str">
        <x:v>KÜRTÜN HES</x:v>
      </x:c>
      <x:c r="N165" s="38" t="n">
        <x:v>103.2</x:v>
      </x:c>
      <x:c r="O165" s="38" t="n">
        <x:v>44.5</x:v>
      </x:c>
      <x:c r="P165" s="38" t="n">
        <x:v>132.75</x:v>
      </x:c>
      <x:c r="Q165" s="38" t="n">
        <x:v>59.72</x:v>
      </x:c>
      <x:c r="R165" s="38" t="n">
        <x:v>0.82</x:v>
      </x:c>
      <x:c r="S165" s="38" t="n">
        <x:v>0.47</x:v>
      </x:c>
      <x:c r="T165" s="40" t="n">
        <x:v>46278.81434027778</x:v>
      </x:c>
      <x:c r="U165" s="32" t="str">
        <x:v>exact</x:v>
      </x:c>
      <x:c r="V165" s="32" t="str">
        <x:v>A</x:v>
      </x:c>
      <x:c r="W165" s="32" t="str">
        <x:v>Yüklü Debi_ve_Kurulu_Guc-13092026.xlsx</x:v>
      </x:c>
      <x:c r="X165" s="32" t="str">
        <x:v>Yüklü Debi_ve_Kurulu_Guc-13092026.xlsx</x:v>
      </x:c>
      <x:c r="Y165" s="32" t="str">
        <x:v>https://cbs1.tarimorman.gov.tr/server/rest/services/TATUS/FeatureServer/7</x:v>
      </x:c>
      <x:c r="Z165" s="32" t="str">
        <x:v>KÜRTÜN HES</x:v>
      </x:c>
      <x:c r="AA165" s="101" t="str"/>
    </x:row>
    <x:row r="166" ht="30" customHeight="1">
      <x:c r="A166" s="100" t="n">
        <x:v>163</x:v>
      </x:c>
      <x:c r="B166" s="32" t="str">
        <x:v>TUNA HES</x:v>
      </x:c>
      <x:c r="C166" s="32" t="str">
        <x:v>Yeşilırmak</x:v>
      </x:c>
      <x:c r="D166" s="32" t="str">
        <x:v>Yeşilırmak</x:v>
      </x:c>
      <x:c r="E166" s="34" t="n">
        <x:v>14</x:v>
      </x:c>
      <x:c r="F166" s="32" t="str">
        <x:v>https://cbs1.tarimorman.gov.tr/server/rest/services/TATUS/FeatureServer/11/query?where=ID%3D14&amp;outFields=ID%2CHAVZA_ADI%2CALAN_KM2&amp;returnGeometry=true&amp;outSR=4326&amp;f=geojson</x:v>
      </x:c>
      <x:c r="G166" s="32" t="str">
        <x:v>TUNA</x:v>
      </x:c>
      <x:c r="H166" s="32" t="str">
        <x:v>TOKAT</x:v>
      </x:c>
      <x:c r="I166" s="36"/>
      <x:c r="J166" s="36"/>
      <x:c r="K166" s="38" t="n">
        <x:v>1033.7</x:v>
      </x:c>
      <x:c r="L166" s="38" t="n">
        <x:v>1023</x:v>
      </x:c>
      <x:c r="M166" s="32"/>
      <x:c r="N166" s="38" t="n">
        <x:v>37.19</x:v>
      </x:c>
      <x:c r="O166" s="38"/>
      <x:c r="P166" s="38"/>
      <x:c r="Q166" s="38"/>
      <x:c r="R166" s="38"/>
      <x:c r="S166" s="38"/>
      <x:c r="T166" s="40"/>
      <x:c r="U166" s="32" t="str">
        <x:v>eşleşme yok</x:v>
      </x:c>
      <x:c r="V166" s="32" t="str">
        <x:v>C</x:v>
      </x:c>
      <x:c r="W166" s="32" t="str">
        <x:v>https://www.enerturk.com/RHG_SR_2022_TR_18.pdf</x:v>
      </x:c>
      <x:c r="X166" s="32" t="str">
        <x:v>https://openinframap.org/stats/area/Turkey/plants?source=hydro</x:v>
      </x:c>
      <x:c r="Y166" s="32"/>
      <x:c r="Z166" s="32" t="str">
        <x:v>10</x:v>
      </x:c>
      <x:c r="AA166" s="101" t="str">
        <x:v>EPİAŞ su göstergesi eşleşmesi bulunamadı; Kaskat alanında kaynak değeri '10' (belirsiz/sentinel); Koordinat güvenilir açık kaynaktan doğrulanamadı; Ünite debisi doğrulanamadı; Maksimum/minimum hacim doğrulanamadı</x:v>
      </x:c>
    </x:row>
    <x:row r="167" ht="30" customHeight="1">
      <x:c r="A167" s="100" t="n">
        <x:v>164</x:v>
      </x:c>
      <x:c r="B167" s="32" t="str">
        <x:v>ULUABAT HES</x:v>
      </x:c>
      <x:c r="C167" s="32" t="str">
        <x:v>Susurluk</x:v>
      </x:c>
      <x:c r="D167" s="32" t="str">
        <x:v>Susurluk</x:v>
      </x:c>
      <x:c r="E167" s="34" t="n">
        <x:v>3</x:v>
      </x:c>
      <x:c r="F167" s="32" t="str">
        <x:v>https://cbs1.tarimorman.gov.tr/server/rest/services/TATUS/FeatureServer/11/query?where=ID%3D3&amp;outFields=ID%2CHAVZA_ADI%2CALAN_KM2&amp;returnGeometry=true&amp;outSR=4326&amp;f=geojson</x:v>
      </x:c>
      <x:c r="G167" s="32" t="str">
        <x:v>ÇINARCIK</x:v>
      </x:c>
      <x:c r="H167" s="32" t="str">
        <x:v>BURSA</x:v>
      </x:c>
      <x:c r="I167" s="36"/>
      <x:c r="J167" s="36"/>
      <x:c r="K167" s="38" t="n">
        <x:v>330</x:v>
      </x:c>
      <x:c r="L167" s="38" t="n">
        <x:v>304.7</x:v>
      </x:c>
      <x:c r="M167" s="32"/>
      <x:c r="N167" s="38" t="n">
        <x:v>100</x:v>
      </x:c>
      <x:c r="O167" s="38" t="n">
        <x:v>38</x:v>
      </x:c>
      <x:c r="P167" s="38" t="n">
        <x:v>372.94</x:v>
      </x:c>
      <x:c r="Q167" s="38" t="n">
        <x:v>186.15</x:v>
      </x:c>
      <x:c r="R167" s="38" t="n">
        <x:v>75.07</x:v>
      </x:c>
      <x:c r="S167" s="38" t="n">
        <x:v>58.74</x:v>
      </x:c>
      <x:c r="T167" s="40" t="n">
        <x:v>46278.81434027778</x:v>
      </x:c>
      <x:c r="U167" s="32" t="str">
        <x:v>alias</x:v>
      </x:c>
      <x:c r="V167" s="32" t="str">
        <x:v>B</x:v>
      </x:c>
      <x:c r="W167" s="32" t="str">
        <x:v>Yüklü Debi_ve_Kurulu_Guc-13092026.xlsx</x:v>
      </x:c>
      <x:c r="X167" s="32" t="str">
        <x:v>Yüklü Debi_ve_Kurulu_Guc-13092026.xlsx</x:v>
      </x:c>
      <x:c r="Y167" s="32"/>
      <x:c r="Z167" s="32" t="str">
        <x:v>10</x:v>
      </x:c>
      <x:c r="AA167" s="101" t="str">
        <x:v>Baraj adı eşleşmesi: ÇINARCIK; Kaskat alanında kaynak değeri '10' (belirsiz/sentinel); Koordinat güvenilir açık kaynaktan doğrulanamadı</x:v>
      </x:c>
    </x:row>
    <x:row r="168" ht="30" customHeight="1">
      <x:c r="A168" s="100" t="n">
        <x:v>165</x:v>
      </x:c>
      <x:c r="B168" s="32" t="str">
        <x:v>ULUDERE BARAJI VE HES</x:v>
      </x:c>
      <x:c r="C168" s="32" t="str">
        <x:v>Fırat Dicle</x:v>
      </x:c>
      <x:c r="D168" s="32" t="str">
        <x:v>Fırat-Dicle</x:v>
      </x:c>
      <x:c r="E168" s="34" t="n">
        <x:v>21</x:v>
      </x:c>
      <x:c r="F168" s="32" t="str">
        <x:v>https://cbs1.tarimorman.gov.tr/server/rest/services/TATUS/FeatureServer/11/query?where=ID%3D21&amp;outFields=ID%2CHAVZA_ADI%2CALAN_KM2&amp;returnGeometry=true&amp;outSR=4326&amp;f=geojson</x:v>
      </x:c>
      <x:c r="G168" s="32" t="str">
        <x:v>ULUDERE BARAJI VE</x:v>
      </x:c>
      <x:c r="H168" s="32" t="str">
        <x:v>ŞIRNAK</x:v>
      </x:c>
      <x:c r="I168" s="36"/>
      <x:c r="J168" s="36"/>
      <x:c r="K168" s="38" t="n">
        <x:v>908.49</x:v>
      </x:c>
      <x:c r="L168" s="38" t="n">
        <x:v>870.5</x:v>
      </x:c>
      <x:c r="M168" s="32" t="str">
        <x:v>ŞIRNAK HES</x:v>
      </x:c>
      <x:c r="N168" s="38" t="n">
        <x:v>3.43</x:v>
      </x:c>
      <x:c r="O168" s="38"/>
      <x:c r="P168" s="38"/>
      <x:c r="Q168" s="38"/>
      <x:c r="R168" s="38"/>
      <x:c r="S168" s="38"/>
      <x:c r="T168" s="40"/>
      <x:c r="U168" s="32" t="str">
        <x:v>eşleşme yok</x:v>
      </x:c>
      <x:c r="V168" s="32" t="str">
        <x:v>C</x:v>
      </x:c>
      <x:c r="W168" s="32" t="str">
        <x:v>https://webdosya.csb.gov.tr/db/ced/icerikler/sirnak_-cdr2023-20240705110218.pdf</x:v>
      </x:c>
      <x:c r="X168" s="32" t="str">
        <x:v>https://webdosya.csb.gov.tr/db/ced/icerikler/sirnak_-cdr2023-20240705110218.pdf</x:v>
      </x:c>
      <x:c r="Y168" s="32"/>
      <x:c r="Z168" s="32" t="str">
        <x:v>ŞIRNAK HES</x:v>
      </x:c>
      <x:c r="AA168" s="101" t="str">
        <x:v>EPİAŞ su göstergesi eşleşmesi bulunamadı; Koordinat güvenilir açık kaynaktan doğrulanamadı; Kurulu güç bulunamadı; Eksik kurulu güç/il bilgisi kamuya açık web kaynağıyla tamamlandı; Kurulu güç kamu kaynağıyla doğrulandı; Ünite debisi doğrulanamadı; Maksimum/minimum hacim doğrulanamadı</x:v>
      </x:c>
    </x:row>
    <x:row r="169" ht="30" customHeight="1">
      <x:c r="A169" s="100" t="n">
        <x:v>166</x:v>
      </x:c>
      <x:c r="B169" s="32" t="str">
        <x:v>UMUT HES</x:v>
      </x:c>
      <x:c r="C169" s="32" t="str">
        <x:v>Yeşilırmak</x:v>
      </x:c>
      <x:c r="D169" s="32" t="str">
        <x:v>Yeşilırmak</x:v>
      </x:c>
      <x:c r="E169" s="34" t="n">
        <x:v>14</x:v>
      </x:c>
      <x:c r="F169" s="32" t="str">
        <x:v>https://cbs1.tarimorman.gov.tr/server/rest/services/TATUS/FeatureServer/11/query?where=ID%3D14&amp;outFields=ID%2CHAVZA_ADI%2CALAN_KM2&amp;returnGeometry=true&amp;outSR=4326&amp;f=geojson</x:v>
      </x:c>
      <x:c r="G169" s="32" t="str">
        <x:v>UMUT I BARAJI</x:v>
      </x:c>
      <x:c r="H169" s="32" t="str">
        <x:v>ORDU</x:v>
      </x:c>
      <x:c r="I169" s="36"/>
      <x:c r="J169" s="36"/>
      <x:c r="K169" s="38" t="n">
        <x:v>1014</x:v>
      </x:c>
      <x:c r="L169" s="38" t="n">
        <x:v>995</x:v>
      </x:c>
      <x:c r="M169" s="32"/>
      <x:c r="N169" s="38" t="n">
        <x:v>10</x:v>
      </x:c>
      <x:c r="O169" s="38" t="n">
        <x:v>8</x:v>
      </x:c>
      <x:c r="P169" s="38" t="n">
        <x:v>16.69</x:v>
      </x:c>
      <x:c r="Q169" s="38" t="n">
        <x:v>4.33</x:v>
      </x:c>
      <x:c r="R169" s="38"/>
      <x:c r="S169" s="38"/>
      <x:c r="T169" s="40" t="n">
        <x:v>46278.81434027778</x:v>
      </x:c>
      <x:c r="U169" s="32" t="str">
        <x:v>water-level</x:v>
      </x:c>
      <x:c r="V169" s="32" t="str">
        <x:v>B</x:v>
      </x:c>
      <x:c r="W169" s="32" t="str">
        <x:v>Yüklü Debi_ve_Kurulu_Guc-13092026.xlsx</x:v>
      </x:c>
      <x:c r="X169" s="32" t="str">
        <x:v>Yüklü Debi_ve_Kurulu_Guc-13092026.xlsx</x:v>
      </x:c>
      <x:c r="Y169" s="32"/>
      <x:c r="Z169" s="32" t="str">
        <x:v>10</x:v>
      </x:c>
      <x:c r="AA169" s="101" t="str">
        <x:v>Baraj eşleşmesi max/min kot üzerinden: UMUT I BARAJI; Kaskat alanında kaynak değeri '10' (belirsiz/sentinel); Koordinat güvenilir açık kaynaktan doğrulanamadı</x:v>
      </x:c>
    </x:row>
    <x:row r="170" ht="30" customHeight="1">
      <x:c r="A170" s="100" t="n">
        <x:v>167</x:v>
      </x:c>
      <x:c r="B170" s="32" t="str">
        <x:v>UZUNÇAYIR HES</x:v>
      </x:c>
      <x:c r="C170" s="32" t="str">
        <x:v>Fırat Dicle</x:v>
      </x:c>
      <x:c r="D170" s="32" t="str">
        <x:v>Fırat-Dicle</x:v>
      </x:c>
      <x:c r="E170" s="34" t="n">
        <x:v>21</x:v>
      </x:c>
      <x:c r="F170" s="32" t="str">
        <x:v>https://cbs1.tarimorman.gov.tr/server/rest/services/TATUS/FeatureServer/11/query?where=ID%3D21&amp;outFields=ID%2CHAVZA_ADI%2CALAN_KM2&amp;returnGeometry=true&amp;outSR=4326&amp;f=geojson</x:v>
      </x:c>
      <x:c r="G170" s="32" t="str">
        <x:v>UZUNÇAYIR</x:v>
      </x:c>
      <x:c r="H170" s="32" t="str">
        <x:v>TUNCELİ</x:v>
      </x:c>
      <x:c r="I170" s="36"/>
      <x:c r="J170" s="36"/>
      <x:c r="K170" s="38" t="n">
        <x:v>900</x:v>
      </x:c>
      <x:c r="L170" s="38" t="n">
        <x:v>885</x:v>
      </x:c>
      <x:c r="M170" s="32" t="str">
        <x:v>KEBAN HES</x:v>
      </x:c>
      <x:c r="N170" s="38" t="n">
        <x:v>82</x:v>
      </x:c>
      <x:c r="O170" s="38"/>
      <x:c r="P170" s="38"/>
      <x:c r="Q170" s="38"/>
      <x:c r="R170" s="38"/>
      <x:c r="S170" s="38"/>
      <x:c r="T170" s="40"/>
      <x:c r="U170" s="32" t="str">
        <x:v>eşleşme yok</x:v>
      </x:c>
      <x:c r="V170" s="32" t="str">
        <x:v>C</x:v>
      </x:c>
      <x:c r="W170" s="32" t="str">
        <x:v>https://www.enerjiatlasi.com/hidroelektrik/?v=1.0.24</x:v>
      </x:c>
      <x:c r="X170" s="32" t="str">
        <x:v>https://openinframap.org/stats/area/Turkey/plants?source=hydro</x:v>
      </x:c>
      <x:c r="Y170" s="32"/>
      <x:c r="Z170" s="32" t="str">
        <x:v>KEBAN HES</x:v>
      </x:c>
      <x:c r="AA170" s="101" t="str">
        <x:v>EPİAŞ su göstergesi eşleşmesi bulunamadı; Koordinat güvenilir açık kaynaktan doğrulanamadı; Ünite debisi doğrulanamadı; Maksimum/minimum hacim doğrulanamadı</x:v>
      </x:c>
    </x:row>
    <x:row r="171" ht="30" customHeight="1">
      <x:c r="A171" s="100" t="n">
        <x:v>168</x:v>
      </x:c>
      <x:c r="B171" s="32" t="str">
        <x:v>UZUNDERE1 HES</x:v>
      </x:c>
      <x:c r="C171" s="32" t="str">
        <x:v>Doğu Karadeniz</x:v>
      </x:c>
      <x:c r="D171" s="32" t="str">
        <x:v>Doğu Karadeniz</x:v>
      </x:c>
      <x:c r="E171" s="34" t="n">
        <x:v>22</x:v>
      </x:c>
      <x:c r="F171" s="32" t="str">
        <x:v>https://cbs1.tarimorman.gov.tr/server/rest/services/TATUS/FeatureServer/11/query?where=ID%3D22&amp;outFields=ID%2CHAVZA_ADI%2CALAN_KM2&amp;returnGeometry=true&amp;outSR=4326&amp;f=geojson</x:v>
      </x:c>
      <x:c r="G171" s="32" t="str">
        <x:v>UZUNDERE1</x:v>
      </x:c>
      <x:c r="H171" s="32" t="str">
        <x:v>RİZE</x:v>
      </x:c>
      <x:c r="I171" s="36"/>
      <x:c r="J171" s="36"/>
      <x:c r="K171" s="38" t="n">
        <x:v>1638</x:v>
      </x:c>
      <x:c r="L171" s="38" t="n">
        <x:v>1623</x:v>
      </x:c>
      <x:c r="M171" s="32"/>
      <x:c r="N171" s="38" t="n">
        <x:v>62</x:v>
      </x:c>
      <x:c r="O171" s="38"/>
      <x:c r="P171" s="38"/>
      <x:c r="Q171" s="38"/>
      <x:c r="R171" s="38"/>
      <x:c r="S171" s="38"/>
      <x:c r="T171" s="40"/>
      <x:c r="U171" s="32" t="str">
        <x:v>eşleşme yok</x:v>
      </x:c>
      <x:c r="V171" s="32" t="str">
        <x:v>C</x:v>
      </x:c>
      <x:c r="W171" s="32" t="str">
        <x:v>https://www.enerjiatlasi.com/hidroelektrik/?v=1.0.24</x:v>
      </x:c>
      <x:c r="X171" s="32" t="str">
        <x:v>https://openinframap.org/stats/area/Turkey/plants?source=hydro</x:v>
      </x:c>
      <x:c r="Y171" s="32"/>
      <x:c r="Z171" s="32" t="str">
        <x:v>10</x:v>
      </x:c>
      <x:c r="AA171" s="101" t="str">
        <x:v>EPİAŞ su göstergesi eşleşmesi bulunamadı; Kaskat alanında kaynak değeri '10' (belirsiz/sentinel); Koordinat güvenilir açık kaynaktan doğrulanamadı; Ünite debisi doğrulanamadı; Maksimum/minimum hacim doğrulanamadı</x:v>
      </x:c>
    </x:row>
    <x:row r="172" ht="30" customHeight="1">
      <x:c r="A172" s="100" t="n">
        <x:v>169</x:v>
      </x:c>
      <x:c r="B172" s="32" t="str">
        <x:v>YALNIZ ARDIÇ HES</x:v>
      </x:c>
      <x:c r="C172" s="32" t="str">
        <x:v>Orta Akdeniz</x:v>
      </x:c>
      <x:c r="D172" s="32" t="str">
        <x:v>Antalya</x:v>
      </x:c>
      <x:c r="E172" s="34" t="n">
        <x:v>9</x:v>
      </x:c>
      <x:c r="F172" s="32" t="str">
        <x:v>https://cbs1.tarimorman.gov.tr/server/rest/services/TATUS/FeatureServer/11/query?where=ID%3D9&amp;outFields=ID%2CHAVZA_ADI%2CALAN_KM2&amp;returnGeometry=true&amp;outSR=4326&amp;f=geojson</x:v>
      </x:c>
      <x:c r="G172" s="32" t="str">
        <x:v>YALNIZARDIÇ</x:v>
      </x:c>
      <x:c r="H172" s="32" t="str">
        <x:v>ANTALYA</x:v>
      </x:c>
      <x:c r="I172" s="36"/>
      <x:c r="J172" s="36"/>
      <x:c r="K172" s="38" t="n">
        <x:v>1358.5</x:v>
      </x:c>
      <x:c r="L172" s="38" t="n">
        <x:v>1309</x:v>
      </x:c>
      <x:c r="M172" s="32"/>
      <x:c r="N172" s="38" t="n">
        <x:v>10</x:v>
      </x:c>
      <x:c r="O172" s="38" t="n">
        <x:v>26.7</x:v>
      </x:c>
      <x:c r="P172" s="38" t="n">
        <x:v>109.53</x:v>
      </x:c>
      <x:c r="Q172" s="38" t="n">
        <x:v>12.1</x:v>
      </x:c>
      <x:c r="R172" s="38" t="n">
        <x:v>35.78</x:v>
      </x:c>
      <x:c r="S172" s="38" t="n">
        <x:v>11.91</x:v>
      </x:c>
      <x:c r="T172" s="40" t="n">
        <x:v>46278.81434027778</x:v>
      </x:c>
      <x:c r="U172" s="32" t="str">
        <x:v>alias</x:v>
      </x:c>
      <x:c r="V172" s="32" t="str">
        <x:v>B</x:v>
      </x:c>
      <x:c r="W172" s="32" t="str">
        <x:v>Yüklü Debi_ve_Kurulu_Guc-13092026.xlsx</x:v>
      </x:c>
      <x:c r="X172" s="32" t="str">
        <x:v>Yüklü Debi_ve_Kurulu_Guc-13092026.xlsx</x:v>
      </x:c>
      <x:c r="Y172" s="32"/>
      <x:c r="Z172" s="32" t="str">
        <x:v>10</x:v>
      </x:c>
      <x:c r="AA172" s="101" t="str">
        <x:v>Baraj adı eşleşmesi: YALNIZARDIÇ; Kaskat alanında kaynak değeri '10' (belirsiz/sentinel); Koordinat güvenilir açık kaynaktan doğrulanamadı</x:v>
      </x:c>
    </x:row>
    <x:row r="173" ht="30" customHeight="1">
      <x:c r="A173" s="100" t="n">
        <x:v>170</x:v>
      </x:c>
      <x:c r="B173" s="32" t="str">
        <x:v>YAMAÇ HES</x:v>
      </x:c>
      <x:c r="C173" s="32" t="str">
        <x:v>Ceyhan</x:v>
      </x:c>
      <x:c r="D173" s="32" t="str">
        <x:v>Ceyhan</x:v>
      </x:c>
      <x:c r="E173" s="34" t="n">
        <x:v>20</x:v>
      </x:c>
      <x:c r="F173" s="32" t="str">
        <x:v>https://cbs1.tarimorman.gov.tr/server/rest/services/TATUS/FeatureServer/11/query?where=ID%3D20&amp;outFields=ID%2CHAVZA_ADI%2CALAN_KM2&amp;returnGeometry=true&amp;outSR=4326&amp;f=geojson</x:v>
      </x:c>
      <x:c r="G173" s="32" t="str">
        <x:v>MEHMETLİ ( KESİKSUYU )</x:v>
      </x:c>
      <x:c r="H173" s="32" t="str">
        <x:v>OSMANİYE</x:v>
      </x:c>
      <x:c r="I173" s="36"/>
      <x:c r="J173" s="36"/>
      <x:c r="K173" s="38" t="n">
        <x:v>216.67</x:v>
      </x:c>
      <x:c r="L173" s="38" t="n">
        <x:v>174.2</x:v>
      </x:c>
      <x:c r="M173" s="32"/>
      <x:c r="N173" s="38" t="n">
        <x:v>5.5</x:v>
      </x:c>
      <x:c r="O173" s="38" t="n">
        <x:v>12.7</x:v>
      </x:c>
      <x:c r="P173" s="38" t="n">
        <x:v>109.75</x:v>
      </x:c>
      <x:c r="Q173" s="38" t="n">
        <x:v>6.47</x:v>
      </x:c>
      <x:c r="R173" s="38"/>
      <x:c r="S173" s="38"/>
      <x:c r="T173" s="40" t="n">
        <x:v>46278.81434027778</x:v>
      </x:c>
      <x:c r="U173" s="32" t="str">
        <x:v>alias</x:v>
      </x:c>
      <x:c r="V173" s="32" t="str">
        <x:v>B</x:v>
      </x:c>
      <x:c r="W173" s="32" t="str">
        <x:v>Yüklü Debi_ve_Kurulu_Guc-13092026.xlsx</x:v>
      </x:c>
      <x:c r="X173" s="32" t="str">
        <x:v>Yüklü Debi_ve_Kurulu_Guc-13092026.xlsx</x:v>
      </x:c>
      <x:c r="Y173" s="32"/>
      <x:c r="Z173" s="32" t="str">
        <x:v>10</x:v>
      </x:c>
      <x:c r="AA173" s="101" t="str">
        <x:v>Baraj adı eşleşmesi: MEHMETLİ ( KESİKSUYU ); Kaskat alanında kaynak değeri '10' (belirsiz/sentinel); Koordinat güvenilir açık kaynaktan doğrulanamadı</x:v>
      </x:c>
    </x:row>
    <x:row r="174" ht="30" customHeight="1">
      <x:c r="A174" s="100" t="n">
        <x:v>171</x:v>
      </x:c>
      <x:c r="B174" s="32" t="str">
        <x:v>YAMULA HES</x:v>
      </x:c>
      <x:c r="C174" s="32" t="str">
        <x:v>Kızılırmak</x:v>
      </x:c>
      <x:c r="D174" s="32" t="str">
        <x:v>Kızılırmak</x:v>
      </x:c>
      <x:c r="E174" s="34" t="n">
        <x:v>15</x:v>
      </x:c>
      <x:c r="F174" s="32" t="str">
        <x:v>https://cbs1.tarimorman.gov.tr/server/rest/services/TATUS/FeatureServer/11/query?where=ID%3D15&amp;outFields=ID%2CHAVZA_ADI%2CALAN_KM2&amp;returnGeometry=true&amp;outSR=4326&amp;f=geojson</x:v>
      </x:c>
      <x:c r="G174" s="32" t="str">
        <x:v>YAMULA</x:v>
      </x:c>
      <x:c r="H174" s="32" t="str">
        <x:v>KAYSERİ</x:v>
      </x:c>
      <x:c r="I174" s="36"/>
      <x:c r="J174" s="36"/>
      <x:c r="K174" s="38" t="n">
        <x:v>1100</x:v>
      </x:c>
      <x:c r="L174" s="38" t="n">
        <x:v>1070</x:v>
      </x:c>
      <x:c r="M174" s="32" t="str">
        <x:v>BAYRAMHACILI HES</x:v>
      </x:c>
      <x:c r="N174" s="38" t="n">
        <x:v>100</x:v>
      </x:c>
      <x:c r="O174" s="38" t="n">
        <x:v>124</x:v>
      </x:c>
      <x:c r="P174" s="38" t="n">
        <x:v>3443.49</x:v>
      </x:c>
      <x:c r="Q174" s="38" t="n">
        <x:v>1384.79</x:v>
      </x:c>
      <x:c r="R174" s="38" t="n">
        <x:v>1510.45</x:v>
      </x:c>
      <x:c r="S174" s="38" t="n">
        <x:v>374.06</x:v>
      </x:c>
      <x:c r="T174" s="40" t="n">
        <x:v>46278.81434027778</x:v>
      </x:c>
      <x:c r="U174" s="32" t="str">
        <x:v>exact</x:v>
      </x:c>
      <x:c r="V174" s="32" t="str">
        <x:v>B</x:v>
      </x:c>
      <x:c r="W174" s="32" t="str">
        <x:v>Yüklü Debi_ve_Kurulu_Guc-13092026.xlsx</x:v>
      </x:c>
      <x:c r="X174" s="32" t="str">
        <x:v>Yüklü Debi_ve_Kurulu_Guc-13092026.xlsx</x:v>
      </x:c>
      <x:c r="Y174" s="32"/>
      <x:c r="Z174" s="32" t="str">
        <x:v>BAYRAMHACILI HES</x:v>
      </x:c>
      <x:c r="AA174" s="101" t="str">
        <x:v>Koordinat güvenilir açık kaynaktan doğrulanamadı</x:v>
      </x:c>
    </x:row>
    <x:row r="175" ht="30" customHeight="1">
      <x:c r="A175" s="100" t="n">
        <x:v>172</x:v>
      </x:c>
      <x:c r="B175" s="32" t="str">
        <x:v>YAPRAK1-2 HES</x:v>
      </x:c>
      <x:c r="C175" s="32" t="str">
        <x:v>Yeşilırmak</x:v>
      </x:c>
      <x:c r="D175" s="32" t="str">
        <x:v>Yeşilırmak</x:v>
      </x:c>
      <x:c r="E175" s="34" t="n">
        <x:v>14</x:v>
      </x:c>
      <x:c r="F175" s="32" t="str">
        <x:v>https://cbs1.tarimorman.gov.tr/server/rest/services/TATUS/FeatureServer/11/query?where=ID%3D14&amp;outFields=ID%2CHAVZA_ADI%2CALAN_KM2&amp;returnGeometry=true&amp;outSR=4326&amp;f=geojson</x:v>
      </x:c>
      <x:c r="G175" s="32" t="str">
        <x:v>YAPRAK I BARAJI</x:v>
      </x:c>
      <x:c r="H175" s="32" t="str">
        <x:v>AMASYA</x:v>
      </x:c>
      <x:c r="I175" s="36"/>
      <x:c r="J175" s="36"/>
      <x:c r="K175" s="38" t="n">
        <x:v>569</x:v>
      </x:c>
      <x:c r="L175" s="38" t="n">
        <x:v>540</x:v>
      </x:c>
      <x:c r="M175" s="32"/>
      <x:c r="N175" s="38" t="n">
        <x:v>10</x:v>
      </x:c>
      <x:c r="O175" s="38" t="n">
        <x:v>8</x:v>
      </x:c>
      <x:c r="P175" s="38" t="n">
        <x:v>15.14</x:v>
      </x:c>
      <x:c r="Q175" s="38" t="n">
        <x:v>1.68</x:v>
      </x:c>
      <x:c r="R175" s="38"/>
      <x:c r="S175" s="38"/>
      <x:c r="T175" s="40" t="n">
        <x:v>46278.81434027778</x:v>
      </x:c>
      <x:c r="U175" s="32" t="str">
        <x:v>alias</x:v>
      </x:c>
      <x:c r="V175" s="32" t="str">
        <x:v>B</x:v>
      </x:c>
      <x:c r="W175" s="32" t="str">
        <x:v>Yüklü Debi_ve_Kurulu_Guc-13092026.xlsx</x:v>
      </x:c>
      <x:c r="X175" s="32" t="str">
        <x:v>Yüklü Debi_ve_Kurulu_Guc-13092026.xlsx</x:v>
      </x:c>
      <x:c r="Y175" s="32"/>
      <x:c r="Z175" s="32" t="str">
        <x:v>10</x:v>
      </x:c>
      <x:c r="AA175" s="101" t="str">
        <x:v>Baraj adı eşleşmesi: YAPRAK I BARAJI; Kaskat alanında kaynak değeri '10' (belirsiz/sentinel); Koordinat güvenilir açık kaynaktan doğrulanamadı</x:v>
      </x:c>
    </x:row>
    <x:row r="176" ht="30" customHeight="1">
      <x:c r="A176" s="100" t="n">
        <x:v>173</x:v>
      </x:c>
      <x:c r="B176" s="32" t="str">
        <x:v>YAZI HES</x:v>
      </x:c>
      <x:c r="C176" s="32" t="str">
        <x:v>Yeşilırmak</x:v>
      </x:c>
      <x:c r="D176" s="32" t="str">
        <x:v>Yeşilırmak</x:v>
      </x:c>
      <x:c r="E176" s="34" t="n">
        <x:v>14</x:v>
      </x:c>
      <x:c r="F176" s="32" t="str">
        <x:v>https://cbs1.tarimorman.gov.tr/server/rest/services/TATUS/FeatureServer/11/query?where=ID%3D14&amp;outFields=ID%2CHAVZA_ADI%2CALAN_KM2&amp;returnGeometry=true&amp;outSR=4326&amp;f=geojson</x:v>
      </x:c>
      <x:c r="G176" s="32" t="str">
        <x:v>YAZI</x:v>
      </x:c>
      <x:c r="H176" s="32"/>
      <x:c r="I176" s="36"/>
      <x:c r="J176" s="36"/>
      <x:c r="K176" s="38" t="n">
        <x:v>1510.5</x:v>
      </x:c>
      <x:c r="L176" s="38" t="n">
        <x:v>1475</x:v>
      </x:c>
      <x:c r="M176" s="32"/>
      <x:c r="N176" s="38" t="n">
        <x:v>1.2</x:v>
      </x:c>
      <x:c r="O176" s="38"/>
      <x:c r="P176" s="38"/>
      <x:c r="Q176" s="38"/>
      <x:c r="R176" s="38"/>
      <x:c r="S176" s="38"/>
      <x:c r="T176" s="40"/>
      <x:c r="U176" s="32" t="str">
        <x:v>eşleşme yok</x:v>
      </x:c>
      <x:c r="V176" s="32" t="str">
        <x:v>C</x:v>
      </x:c>
      <x:c r="W176" s="32"/>
      <x:c r="X176" s="32" t="str">
        <x:v>https://ere.com.tr/wp-content/uploads/2022/06/Hid_pot.pdf</x:v>
      </x:c>
      <x:c r="Y176" s="32"/>
      <x:c r="Z176" s="32" t="str">
        <x:v>10</x:v>
      </x:c>
      <x:c r="AA176" s="101" t="str">
        <x:v>EPİAŞ su göstergesi eşleşmesi bulunamadı; Kaskat alanında kaynak değeri '10' (belirsiz/sentinel); Koordinat güvenilir açık kaynaktan doğrulanamadı; Kurulu güç bulunamadı; Eksik kurulu güç/il bilgisi kamuya açık web kaynağıyla tamamlandı; Ünite debisi doğrulanamadı; Maksimum/minimum hacim doğrulanamadı</x:v>
      </x:c>
    </x:row>
    <x:row r="177" ht="30" customHeight="1">
      <x:c r="A177" s="100" t="n">
        <x:v>174</x:v>
      </x:c>
      <x:c r="B177" s="32" t="str">
        <x:v>YENİCE HES</x:v>
      </x:c>
      <x:c r="C177" s="32" t="str">
        <x:v>Sakarya</x:v>
      </x:c>
      <x:c r="D177" s="32" t="str">
        <x:v>Sakarya</x:v>
      </x:c>
      <x:c r="E177" s="34" t="n">
        <x:v>12</x:v>
      </x:c>
      <x:c r="F177" s="32" t="str">
        <x:v>https://cbs1.tarimorman.gov.tr/server/rest/services/TATUS/FeatureServer/11/query?where=ID%3D12&amp;outFields=ID%2CHAVZA_ADI%2CALAN_KM2&amp;returnGeometry=true&amp;outSR=4326&amp;f=geojson</x:v>
      </x:c>
      <x:c r="G177" s="32" t="str">
        <x:v>YENİCE</x:v>
      </x:c>
      <x:c r="H177" s="32" t="str">
        <x:v>ESKİŞEHİR</x:v>
      </x:c>
      <x:c r="I177" s="36"/>
      <x:c r="J177" s="36"/>
      <x:c r="K177" s="38" t="n">
        <x:v>273.1</x:v>
      </x:c>
      <x:c r="L177" s="38" t="n">
        <x:v>272</x:v>
      </x:c>
      <x:c r="M177" s="32"/>
      <x:c r="N177" s="38" t="n">
        <x:v>37.9</x:v>
      </x:c>
      <x:c r="O177" s="38" t="n">
        <x:v>150</x:v>
      </x:c>
      <x:c r="P177" s="38" t="n">
        <x:v>57.92</x:v>
      </x:c>
      <x:c r="Q177" s="38" t="n">
        <x:v>53.25</x:v>
      </x:c>
      <x:c r="R177" s="38" t="n">
        <x:v>0</x:v>
      </x:c>
      <x:c r="S177" s="38" t="n">
        <x:v>0</x:v>
      </x:c>
      <x:c r="T177" s="40" t="n">
        <x:v>46278.81434027778</x:v>
      </x:c>
      <x:c r="U177" s="32" t="str">
        <x:v>exact</x:v>
      </x:c>
      <x:c r="V177" s="32" t="str">
        <x:v>B</x:v>
      </x:c>
      <x:c r="W177" s="32" t="str">
        <x:v>Yüklü Debi_ve_Kurulu_Guc-13092026.xlsx</x:v>
      </x:c>
      <x:c r="X177" s="32" t="str">
        <x:v>Yüklü Debi_ve_Kurulu_Guc-13092026.xlsx</x:v>
      </x:c>
      <x:c r="Y177" s="32"/>
      <x:c r="Z177" s="32" t="str">
        <x:v>10</x:v>
      </x:c>
      <x:c r="AA177" s="101" t="str">
        <x:v>Kaskat alanında kaynak değeri '10' (belirsiz/sentinel); Koordinat güvenilir açık kaynaktan doğrulanamadı</x:v>
      </x:c>
    </x:row>
    <x:row r="178" ht="30" customHeight="1">
      <x:c r="A178" s="100" t="n">
        <x:v>175</x:v>
      </x:c>
      <x:c r="B178" s="32" t="str">
        <x:v>YUKARI KALEKÖY HES</x:v>
      </x:c>
      <x:c r="C178" s="32" t="str">
        <x:v>Fırat Dicle</x:v>
      </x:c>
      <x:c r="D178" s="32" t="str">
        <x:v>Fırat-Dicle</x:v>
      </x:c>
      <x:c r="E178" s="34" t="n">
        <x:v>21</x:v>
      </x:c>
      <x:c r="F178" s="32" t="str">
        <x:v>https://cbs1.tarimorman.gov.tr/server/rest/services/TATUS/FeatureServer/11/query?where=ID%3D21&amp;outFields=ID%2CHAVZA_ADI%2CALAN_KM2&amp;returnGeometry=true&amp;outSR=4326&amp;f=geojson</x:v>
      </x:c>
      <x:c r="G178" s="32" t="str">
        <x:v>YUKARI KALEKÖY</x:v>
      </x:c>
      <x:c r="H178" s="32" t="str">
        <x:v>BİNGÖL</x:v>
      </x:c>
      <x:c r="I178" s="36"/>
      <x:c r="J178" s="36"/>
      <x:c r="K178" s="38" t="n">
        <x:v>1235</x:v>
      </x:c>
      <x:c r="L178" s="38" t="n">
        <x:v>1210</x:v>
      </x:c>
      <x:c r="M178" s="32" t="str">
        <x:v>AŞAĞI KALEKÖY HES</x:v>
      </x:c>
      <x:c r="N178" s="38" t="n">
        <x:v>627</x:v>
      </x:c>
      <x:c r="O178" s="38"/>
      <x:c r="P178" s="38"/>
      <x:c r="Q178" s="38"/>
      <x:c r="R178" s="38"/>
      <x:c r="S178" s="38"/>
      <x:c r="T178" s="40"/>
      <x:c r="U178" s="32" t="str">
        <x:v>eşleşme yok</x:v>
      </x:c>
      <x:c r="V178" s="32" t="str">
        <x:v>C</x:v>
      </x:c>
      <x:c r="W178" s="32" t="str">
        <x:v>https://openinframap.org/stats/area/Turkey/plants?source=hydro</x:v>
      </x:c>
      <x:c r="X178" s="32" t="str">
        <x:v>https://openinframap.org/stats/area/Turkey/plants?source=hydro</x:v>
      </x:c>
      <x:c r="Y178" s="32"/>
      <x:c r="Z178" s="32" t="str">
        <x:v>AŞAĞI KALEKÖY HES</x:v>
      </x:c>
      <x:c r="AA178" s="101" t="str">
        <x:v>EPİAŞ su göstergesi eşleşmesi bulunamadı; Koordinat güvenilir açık kaynaktan doğrulanamadı; Ünite debisi doğrulanamadı; Maksimum/minimum hacim doğrulanamadı</x:v>
      </x:c>
    </x:row>
    <x:row r="179" ht="30" customHeight="1">
      <x:c r="A179" s="100" t="n">
        <x:v>176</x:v>
      </x:c>
      <x:c r="B179" s="32" t="str">
        <x:v>YUKARI MANAHOZ HES</x:v>
      </x:c>
      <x:c r="C179" s="32" t="str">
        <x:v>Doğu Karadeniz</x:v>
      </x:c>
      <x:c r="D179" s="32" t="str">
        <x:v>Doğu Karadeniz</x:v>
      </x:c>
      <x:c r="E179" s="34" t="n">
        <x:v>22</x:v>
      </x:c>
      <x:c r="F179" s="32" t="str">
        <x:v>https://cbs1.tarimorman.gov.tr/server/rest/services/TATUS/FeatureServer/11/query?where=ID%3D22&amp;outFields=ID%2CHAVZA_ADI%2CALAN_KM2&amp;returnGeometry=true&amp;outSR=4326&amp;f=geojson</x:v>
      </x:c>
      <x:c r="G179" s="32" t="str">
        <x:v>YUKARI MANAHOZ</x:v>
      </x:c>
      <x:c r="H179" s="32" t="str">
        <x:v>TRABZON</x:v>
      </x:c>
      <x:c r="I179" s="36"/>
      <x:c r="J179" s="36"/>
      <x:c r="K179" s="38" t="n">
        <x:v>1159.4</x:v>
      </x:c>
      <x:c r="L179" s="38" t="n">
        <x:v>1145</x:v>
      </x:c>
      <x:c r="M179" s="32"/>
      <x:c r="N179" s="38" t="n">
        <x:v>22.4</x:v>
      </x:c>
      <x:c r="O179" s="38"/>
      <x:c r="P179" s="38"/>
      <x:c r="Q179" s="38"/>
      <x:c r="R179" s="38"/>
      <x:c r="S179" s="38"/>
      <x:c r="T179" s="40"/>
      <x:c r="U179" s="32" t="str">
        <x:v>eşleşme yok</x:v>
      </x:c>
      <x:c r="V179" s="32" t="str">
        <x:v>C</x:v>
      </x:c>
      <x:c r="W179" s="32" t="str">
        <x:v>https://dergipark.org.tr/tr/download/article-file/1173951</x:v>
      </x:c>
      <x:c r="X179" s="32" t="str">
        <x:v>https://dergipark.org.tr/tr/download/article-file/1173951</x:v>
      </x:c>
      <x:c r="Y179" s="32"/>
      <x:c r="Z179" s="32" t="str">
        <x:v>10</x:v>
      </x:c>
      <x:c r="AA179" s="101" t="str">
        <x:v>EPİAŞ su göstergesi eşleşmesi bulunamadı; Kaskat alanında kaynak değeri '10' (belirsiz/sentinel); Koordinat güvenilir açık kaynaktan doğrulanamadı; Kurulu güç bulunamadı; Eksik kurulu güç/il bilgisi kamuya açık web kaynağıyla tamamlandı; Ünite debisi doğrulanamadı; Maksimum/minimum hacim doğrulanamadı</x:v>
      </x:c>
    </x:row>
    <x:row r="180" ht="30" customHeight="1">
      <x:c r="A180" s="102" t="n">
        <x:v>177</x:v>
      </x:c>
      <x:c r="B180" s="103" t="str">
        <x:v>YUSUFELİ HES</x:v>
      </x:c>
      <x:c r="C180" s="103" t="str">
        <x:v>Çoruh</x:v>
      </x:c>
      <x:c r="D180" s="103" t="str">
        <x:v>Çoruh</x:v>
      </x:c>
      <x:c r="E180" s="104" t="n">
        <x:v>23</x:v>
      </x:c>
      <x:c r="F180" s="103" t="str">
        <x:v>https://cbs1.tarimorman.gov.tr/server/rest/services/TATUS/FeatureServer/11/query?where=ID%3D23&amp;outFields=ID%2CHAVZA_ADI%2CALAN_KM2&amp;returnGeometry=true&amp;outSR=4326&amp;f=geojson</x:v>
      </x:c>
      <x:c r="G180" s="103" t="str">
        <x:v>YUSUFELİ</x:v>
      </x:c>
      <x:c r="H180" s="103" t="str">
        <x:v>ARTVİN</x:v>
      </x:c>
      <x:c r="I180" s="105"/>
      <x:c r="J180" s="105"/>
      <x:c r="K180" s="106" t="n">
        <x:v>710</x:v>
      </x:c>
      <x:c r="L180" s="106" t="n">
        <x:v>670</x:v>
      </x:c>
      <x:c r="M180" s="103" t="str">
        <x:v>ARTVİN HES</x:v>
      </x:c>
      <x:c r="N180" s="106" t="n">
        <x:v>558</x:v>
      </x:c>
      <x:c r="O180" s="106"/>
      <x:c r="P180" s="106"/>
      <x:c r="Q180" s="106"/>
      <x:c r="R180" s="106"/>
      <x:c r="S180" s="106"/>
      <x:c r="T180" s="107"/>
      <x:c r="U180" s="103" t="str">
        <x:v>eşleşme yok</x:v>
      </x:c>
      <x:c r="V180" s="103" t="str">
        <x:v>C</x:v>
      </x:c>
      <x:c r="W180" s="103" t="str">
        <x:v>https://enerji.dsi.gov.tr/Haber/Detay/10469</x:v>
      </x:c>
      <x:c r="X180" s="103" t="str">
        <x:v>https://enerji.dsi.gov.tr/Haber/Detay/10469</x:v>
      </x:c>
      <x:c r="Y180" s="103"/>
      <x:c r="Z180" s="103" t="str">
        <x:v>ARTVİN HES</x:v>
      </x:c>
      <x:c r="AA180" s="108" t="str">
        <x:v>EPİAŞ su göstergesi eşleşmesi bulunamadı; Koordinat güvenilir açık kaynaktan doğrulanamadı; Ünite debisi doğrulanamadı; Maksimum/minimum hacim doğrulanamadı</x:v>
      </x:c>
    </x:row>
  </x:sheetData>
  <x:mergeCells>
    <x:mergeCell ref="A1:AA1"/>
    <x:mergeCell ref="A2:AA2"/>
  </x:mergeCells>
  <x:conditionalFormatting sqref="V4:V180">
    <x:cfRule type="expression" dxfId="0" priority="1">
      <x:formula>V4="A"</x:formula>
    </x:cfRule>
    <x:cfRule type="expression" dxfId="1" priority="2">
      <x:formula>V4="B"</x:formula>
    </x:cfRule>
    <x:cfRule type="expression" dxfId="2" priority="3">
      <x:formula>V4="C"</x:formula>
    </x:cfRule>
  </x:conditionalFormatting>
  <x:conditionalFormatting sqref="N4:N180">
    <x:cfRule type="dataBar" priority="4">
      <x:dataBar>
        <x:cfvo type="min"/>
        <x:cfvo type="max"/>
        <x:color rgb="FF2A9D8F"/>
      </x:dataBar>
      <x:extLst>
        <x:ext xmlns:x14="http://schemas.microsoft.com/office/spreadsheetml/2009/9/main" uri="{B025F937-C7B1-47D3-B67F-A62EFF666E3E}">
          <x14:id>{0CEF8265-A6B3-B6D2-AD89-DB70F848EE7D}</x14:id>
        </x:ext>
      </x:extLst>
    </x:cfRule>
  </x:conditionalFormatting>
  <x:pageMargins left="0.7" right="0.7" top="0.75" bottom="0.75" header="0.3" footer="0.3"/>
  <x:tableParts count="1">
    <x:tablePart xmlns:r="http://schemas.openxmlformats.org/officeDocument/2006/relationships" r:id="R8af32f1672604c02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4" id="{0CEF8265-A6B3-B6D2-AD89-DB70F848EE7D}">
            <x14:dataBar gradient="1">
              <x14:cfvo type="min"/>
              <x14:cfvo type="max"/>
              <x14:fillColor rgb="FF2A9D8F"/>
            </x14:dataBar>
          </x14:cfRule>
          <xm:sqref>N4:N180</xm:sqref>
        </x14:conditionalFormatting>
      </x14:conditionalFormattings>
    </x:ext>
  </x:extLst>
</x:worksheet>
</file>

<file path=xl/worksheets/sheet3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22" hidden="0" customWidth="1"/>
    <x:col min="3" max="3" width="12" hidden="0" customWidth="1"/>
    <x:col min="4" max="4" width="20" hidden="0" customWidth="1"/>
    <x:col min="5" max="5" width="18" hidden="0" customWidth="1"/>
    <x:col min="6" max="6" width="16" hidden="0" customWidth="1"/>
    <x:col min="7" max="7" width="18" hidden="0" customWidth="1"/>
    <x:col min="8" max="8" width="48" hidden="0" customWidth="1"/>
  </x:cols>
  <x:sheetData>
    <x:row r="1">
      <x:c r="A1" s="5" t="str">
        <x:v>Havza Bazlı 177 HES Özeti</x:v>
      </x:c>
      <x:c r="B1" s="5"/>
      <x:c r="C1" s="5"/>
      <x:c r="D1" s="5"/>
      <x:c r="E1" s="5"/>
      <x:c r="F1" s="5"/>
      <x:c r="G1" s="5"/>
      <x:c r="H1" s="5"/>
    </x:row>
    <x:row r="3" ht="34" customHeight="1">
      <x:c r="A3" s="74" t="str">
        <x:v>Havza ID</x:v>
      </x:c>
      <x:c r="B3" s="75" t="str">
        <x:v>Havza (TATUS)</x:v>
      </x:c>
      <x:c r="C3" s="75" t="str">
        <x:v>HES Sayısı</x:v>
      </x:c>
      <x:c r="D3" s="75" t="str">
        <x:v>Kurulu Güç Toplamı (MW)</x:v>
      </x:c>
      <x:c r="E3" s="75" t="str">
        <x:v>Ünite Debisi Bulunan</x:v>
      </x:c>
      <x:c r="F3" s="75" t="str">
        <x:v>Koordinatlı HES</x:v>
      </x:c>
      <x:c r="G3" s="75" t="str">
        <x:v>Aktif Hacim Bulunan</x:v>
      </x:c>
      <x:c r="H3" s="99" t="str">
        <x:v>GeoJSON Poligon</x:v>
      </x:c>
    </x:row>
    <x:row r="4">
      <x:c r="A4" s="119" t="n">
        <x:v>1</x:v>
      </x:c>
      <x:c r="B4" s="29" t="str">
        <x:v>Meriç-Ergene</x:v>
      </x:c>
      <x:c r="C4" s="29" t="n">
        <x:f>COUNTIF(HES_177!$D$4:$D$180,B4)</x:f>
        <x:v>0</x:v>
      </x:c>
      <x:c r="D4" s="51" t="n">
        <x:f>SUMIF(HES_177!$D$4:$D$180,B4,HES_177!$N$4:$N$180)</x:f>
        <x:v>0</x:v>
      </x:c>
      <x:c r="E4" s="29" t="n">
        <x:f>COUNTIFS(HES_177!$D$4:$D$180,B4,HES_177!$O$4:$O$180,"&gt;0")</x:f>
        <x:v>0</x:v>
      </x:c>
      <x:c r="F4" s="29" t="n">
        <x:f>COUNTIFS(HES_177!$D$4:$D$180,B4,HES_177!$I$4:$I$180,"&lt;&gt;")</x:f>
        <x:v>0</x:v>
      </x:c>
      <x:c r="G4" s="29" t="n">
        <x:f>COUNTIFS(HES_177!$D$4:$D$180,B4,HES_177!$R$4:$R$180,"&gt;0")</x:f>
        <x:v>0</x:v>
      </x:c>
      <x:c r="H4" s="101" t="str">
        <x:v>https://cbs1.tarimorman.gov.tr/server/rest/services/TATUS/FeatureServer/11/query?where=ID%3D1&amp;outFields=ID%2CHAVZA_ADI%2CALAN_KM2&amp;returnGeometry=true&amp;outSR=4326&amp;f=geojson</x:v>
      </x:c>
    </x:row>
    <x:row r="5">
      <x:c r="A5" s="119" t="n">
        <x:v>2</x:v>
      </x:c>
      <x:c r="B5" s="29" t="str">
        <x:v>Marmara</x:v>
      </x:c>
      <x:c r="C5" s="29" t="n">
        <x:f>COUNTIF(HES_177!$D$4:$D$180,B5)</x:f>
        <x:v>1</x:v>
      </x:c>
      <x:c r="D5" s="51" t="n">
        <x:f>SUMIF(HES_177!$D$4:$D$180,B5,HES_177!$N$4:$N$180)</x:f>
        <x:v>10.6</x:v>
      </x:c>
      <x:c r="E5" s="29" t="n">
        <x:f>COUNTIFS(HES_177!$D$4:$D$180,B5,HES_177!$O$4:$O$180,"&gt;0")</x:f>
        <x:v>1</x:v>
      </x:c>
      <x:c r="F5" s="29" t="n">
        <x:f>COUNTIFS(HES_177!$D$4:$D$180,B5,HES_177!$I$4:$I$180,"&lt;&gt;")</x:f>
        <x:v>0</x:v>
      </x:c>
      <x:c r="G5" s="29" t="n">
        <x:f>COUNTIFS(HES_177!$D$4:$D$180,B5,HES_177!$R$4:$R$180,"&gt;0")</x:f>
        <x:v>1</x:v>
      </x:c>
      <x:c r="H5" s="101" t="str">
        <x:v>https://cbs1.tarimorman.gov.tr/server/rest/services/TATUS/FeatureServer/11/query?where=ID%3D2&amp;outFields=ID%2CHAVZA_ADI%2CALAN_KM2&amp;returnGeometry=true&amp;outSR=4326&amp;f=geojson</x:v>
      </x:c>
    </x:row>
    <x:row r="6">
      <x:c r="A6" s="119" t="n">
        <x:v>3</x:v>
      </x:c>
      <x:c r="B6" s="29" t="str">
        <x:v>Susurluk</x:v>
      </x:c>
      <x:c r="C6" s="29" t="n">
        <x:f>COUNTIF(HES_177!$D$4:$D$180,B6)</x:f>
        <x:v>5</x:v>
      </x:c>
      <x:c r="D6" s="51" t="n">
        <x:f>SUMIF(HES_177!$D$4:$D$180,B6,HES_177!$N$4:$N$180)</x:f>
        <x:v>163.1</x:v>
      </x:c>
      <x:c r="E6" s="29" t="n">
        <x:f>COUNTIFS(HES_177!$D$4:$D$180,B6,HES_177!$O$4:$O$180,"&gt;0")</x:f>
        <x:v>4</x:v>
      </x:c>
      <x:c r="F6" s="29" t="n">
        <x:f>COUNTIFS(HES_177!$D$4:$D$180,B6,HES_177!$I$4:$I$180,"&lt;&gt;")</x:f>
        <x:v>1</x:v>
      </x:c>
      <x:c r="G6" s="29" t="n">
        <x:f>COUNTIFS(HES_177!$D$4:$D$180,B6,HES_177!$R$4:$R$180,"&gt;0")</x:f>
        <x:v>4</x:v>
      </x:c>
      <x:c r="H6" s="101" t="str">
        <x:v>https://cbs1.tarimorman.gov.tr/server/rest/services/TATUS/FeatureServer/11/query?where=ID%3D3&amp;outFields=ID%2CHAVZA_ADI%2CALAN_KM2&amp;returnGeometry=true&amp;outSR=4326&amp;f=geojson</x:v>
      </x:c>
    </x:row>
    <x:row r="7">
      <x:c r="A7" s="119" t="n">
        <x:v>4</x:v>
      </x:c>
      <x:c r="B7" s="29" t="str">
        <x:v>Kuzey Ege</x:v>
      </x:c>
      <x:c r="C7" s="29" t="n">
        <x:f>COUNTIF(HES_177!$D$4:$D$180,B7)</x:f>
        <x:v>1</x:v>
      </x:c>
      <x:c r="D7" s="51" t="n">
        <x:f>SUMIF(HES_177!$D$4:$D$180,B7,HES_177!$N$4:$N$180)</x:f>
        <x:v>1.8</x:v>
      </x:c>
      <x:c r="E7" s="29" t="n">
        <x:f>COUNTIFS(HES_177!$D$4:$D$180,B7,HES_177!$O$4:$O$180,"&gt;0")</x:f>
        <x:v>1</x:v>
      </x:c>
      <x:c r="F7" s="29" t="n">
        <x:f>COUNTIFS(HES_177!$D$4:$D$180,B7,HES_177!$I$4:$I$180,"&lt;&gt;")</x:f>
        <x:v>0</x:v>
      </x:c>
      <x:c r="G7" s="29" t="n">
        <x:f>COUNTIFS(HES_177!$D$4:$D$180,B7,HES_177!$R$4:$R$180,"&gt;0")</x:f>
        <x:v>1</x:v>
      </x:c>
      <x:c r="H7" s="101" t="str">
        <x:v>https://cbs1.tarimorman.gov.tr/server/rest/services/TATUS/FeatureServer/11/query?where=ID%3D4&amp;outFields=ID%2CHAVZA_ADI%2CALAN_KM2&amp;returnGeometry=true&amp;outSR=4326&amp;f=geojson</x:v>
      </x:c>
    </x:row>
    <x:row r="8">
      <x:c r="A8" s="119" t="n">
        <x:v>5</x:v>
      </x:c>
      <x:c r="B8" s="29" t="str">
        <x:v>Gediz</x:v>
      </x:c>
      <x:c r="C8" s="29" t="n">
        <x:f>COUNTIF(HES_177!$D$4:$D$180,B8)</x:f>
        <x:v>1</x:v>
      </x:c>
      <x:c r="D8" s="51" t="n">
        <x:f>SUMIF(HES_177!$D$4:$D$180,B8,HES_177!$N$4:$N$180)</x:f>
        <x:v>69</x:v>
      </x:c>
      <x:c r="E8" s="29" t="n">
        <x:f>COUNTIFS(HES_177!$D$4:$D$180,B8,HES_177!$O$4:$O$180,"&gt;0")</x:f>
        <x:v>1</x:v>
      </x:c>
      <x:c r="F8" s="29" t="n">
        <x:f>COUNTIFS(HES_177!$D$4:$D$180,B8,HES_177!$I$4:$I$180,"&lt;&gt;")</x:f>
        <x:v>0</x:v>
      </x:c>
      <x:c r="G8" s="29" t="n">
        <x:f>COUNTIFS(HES_177!$D$4:$D$180,B8,HES_177!$R$4:$R$180,"&gt;0")</x:f>
        <x:v>1</x:v>
      </x:c>
      <x:c r="H8" s="101" t="str">
        <x:v>https://cbs1.tarimorman.gov.tr/server/rest/services/TATUS/FeatureServer/11/query?where=ID%3D5&amp;outFields=ID%2CHAVZA_ADI%2CALAN_KM2&amp;returnGeometry=true&amp;outSR=4326&amp;f=geojson</x:v>
      </x:c>
    </x:row>
    <x:row r="9">
      <x:c r="A9" s="119" t="n">
        <x:v>6</x:v>
      </x:c>
      <x:c r="B9" s="29" t="str">
        <x:v>Küçük Menderes</x:v>
      </x:c>
      <x:c r="C9" s="29" t="n">
        <x:f>COUNTIF(HES_177!$D$4:$D$180,B9)</x:f>
        <x:v>0</x:v>
      </x:c>
      <x:c r="D9" s="51" t="n">
        <x:f>SUMIF(HES_177!$D$4:$D$180,B9,HES_177!$N$4:$N$180)</x:f>
        <x:v>0</x:v>
      </x:c>
      <x:c r="E9" s="29" t="n">
        <x:f>COUNTIFS(HES_177!$D$4:$D$180,B9,HES_177!$O$4:$O$180,"&gt;0")</x:f>
        <x:v>0</x:v>
      </x:c>
      <x:c r="F9" s="29" t="n">
        <x:f>COUNTIFS(HES_177!$D$4:$D$180,B9,HES_177!$I$4:$I$180,"&lt;&gt;")</x:f>
        <x:v>0</x:v>
      </x:c>
      <x:c r="G9" s="29" t="n">
        <x:f>COUNTIFS(HES_177!$D$4:$D$180,B9,HES_177!$R$4:$R$180,"&gt;0")</x:f>
        <x:v>0</x:v>
      </x:c>
      <x:c r="H9" s="101" t="str">
        <x:v>https://cbs1.tarimorman.gov.tr/server/rest/services/TATUS/FeatureServer/11/query?where=ID%3D6&amp;outFields=ID%2CHAVZA_ADI%2CALAN_KM2&amp;returnGeometry=true&amp;outSR=4326&amp;f=geojson</x:v>
      </x:c>
    </x:row>
    <x:row r="10">
      <x:c r="A10" s="119" t="n">
        <x:v>7</x:v>
      </x:c>
      <x:c r="B10" s="29" t="str">
        <x:v>Büyük Menderes</x:v>
      </x:c>
      <x:c r="C10" s="29" t="n">
        <x:f>COUNTIF(HES_177!$D$4:$D$180,B10)</x:f>
        <x:v>7</x:v>
      </x:c>
      <x:c r="D10" s="51" t="n">
        <x:f>SUMIF(HES_177!$D$4:$D$180,B10,HES_177!$N$4:$N$180)</x:f>
        <x:v>278.1</x:v>
      </x:c>
      <x:c r="E10" s="29" t="n">
        <x:f>COUNTIFS(HES_177!$D$4:$D$180,B10,HES_177!$O$4:$O$180,"&gt;0")</x:f>
        <x:v>6</x:v>
      </x:c>
      <x:c r="F10" s="29" t="n">
        <x:f>COUNTIFS(HES_177!$D$4:$D$180,B10,HES_177!$I$4:$I$180,"&lt;&gt;")</x:f>
        <x:v>6</x:v>
      </x:c>
      <x:c r="G10" s="29" t="n">
        <x:f>COUNTIFS(HES_177!$D$4:$D$180,B10,HES_177!$R$4:$R$180,"&gt;0")</x:f>
        <x:v>5</x:v>
      </x:c>
      <x:c r="H10" s="101" t="str">
        <x:v>https://cbs1.tarimorman.gov.tr/server/rest/services/TATUS/FeatureServer/11/query?where=ID%3D7&amp;outFields=ID%2CHAVZA_ADI%2CALAN_KM2&amp;returnGeometry=true&amp;outSR=4326&amp;f=geojson</x:v>
      </x:c>
    </x:row>
    <x:row r="11">
      <x:c r="A11" s="119" t="n">
        <x:v>8</x:v>
      </x:c>
      <x:c r="B11" s="29" t="str">
        <x:v>Batı Akdeniz</x:v>
      </x:c>
      <x:c r="C11" s="29" t="n">
        <x:f>COUNTIF(HES_177!$D$4:$D$180,B11)</x:f>
        <x:v>3</x:v>
      </x:c>
      <x:c r="D11" s="51" t="n">
        <x:f>SUMIF(HES_177!$D$4:$D$180,B11,HES_177!$N$4:$N$180)</x:f>
        <x:v>125.86</x:v>
      </x:c>
      <x:c r="E11" s="29" t="n">
        <x:f>COUNTIFS(HES_177!$D$4:$D$180,B11,HES_177!$O$4:$O$180,"&gt;0")</x:f>
        <x:v>2</x:v>
      </x:c>
      <x:c r="F11" s="29" t="n">
        <x:f>COUNTIFS(HES_177!$D$4:$D$180,B11,HES_177!$I$4:$I$180,"&lt;&gt;")</x:f>
        <x:v>0</x:v>
      </x:c>
      <x:c r="G11" s="29" t="n">
        <x:f>COUNTIFS(HES_177!$D$4:$D$180,B11,HES_177!$R$4:$R$180,"&gt;0")</x:f>
        <x:v>2</x:v>
      </x:c>
      <x:c r="H11" s="101" t="str">
        <x:v>https://cbs1.tarimorman.gov.tr/server/rest/services/TATUS/FeatureServer/11/query?where=ID%3D8&amp;outFields=ID%2CHAVZA_ADI%2CALAN_KM2&amp;returnGeometry=true&amp;outSR=4326&amp;f=geojson</x:v>
      </x:c>
    </x:row>
    <x:row r="12">
      <x:c r="A12" s="119" t="n">
        <x:v>9</x:v>
      </x:c>
      <x:c r="B12" s="29" t="str">
        <x:v>Antalya</x:v>
      </x:c>
      <x:c r="C12" s="29" t="n">
        <x:f>COUNTIF(HES_177!$D$4:$D$180,B12)</x:f>
        <x:v>9</x:v>
      </x:c>
      <x:c r="D12" s="51" t="n">
        <x:f>SUMIF(HES_177!$D$4:$D$180,B12,HES_177!$N$4:$N$180)</x:f>
        <x:v>770.4300000000001</x:v>
      </x:c>
      <x:c r="E12" s="29" t="n">
        <x:f>COUNTIFS(HES_177!$D$4:$D$180,B12,HES_177!$O$4:$O$180,"&gt;0")</x:f>
        <x:v>6</x:v>
      </x:c>
      <x:c r="F12" s="29" t="n">
        <x:f>COUNTIFS(HES_177!$D$4:$D$180,B12,HES_177!$I$4:$I$180,"&lt;&gt;")</x:f>
        <x:v>0</x:v>
      </x:c>
      <x:c r="G12" s="29" t="n">
        <x:f>COUNTIFS(HES_177!$D$4:$D$180,B12,HES_177!$R$4:$R$180,"&gt;0")</x:f>
        <x:v>5</x:v>
      </x:c>
      <x:c r="H12" s="101" t="str">
        <x:v>https://cbs1.tarimorman.gov.tr/server/rest/services/TATUS/FeatureServer/11/query?where=ID%3D9&amp;outFields=ID%2CHAVZA_ADI%2CALAN_KM2&amp;returnGeometry=true&amp;outSR=4326&amp;f=geojson</x:v>
      </x:c>
    </x:row>
    <x:row r="13">
      <x:c r="A13" s="119" t="n">
        <x:v>10</x:v>
      </x:c>
      <x:c r="B13" s="29" t="str">
        <x:v>Burdur</x:v>
      </x:c>
      <x:c r="C13" s="29" t="n">
        <x:f>COUNTIF(HES_177!$D$4:$D$180,B13)</x:f>
        <x:v>0</x:v>
      </x:c>
      <x:c r="D13" s="51" t="n">
        <x:f>SUMIF(HES_177!$D$4:$D$180,B13,HES_177!$N$4:$N$180)</x:f>
        <x:v>0</x:v>
      </x:c>
      <x:c r="E13" s="29" t="n">
        <x:f>COUNTIFS(HES_177!$D$4:$D$180,B13,HES_177!$O$4:$O$180,"&gt;0")</x:f>
        <x:v>0</x:v>
      </x:c>
      <x:c r="F13" s="29" t="n">
        <x:f>COUNTIFS(HES_177!$D$4:$D$180,B13,HES_177!$I$4:$I$180,"&lt;&gt;")</x:f>
        <x:v>0</x:v>
      </x:c>
      <x:c r="G13" s="29" t="n">
        <x:f>COUNTIFS(HES_177!$D$4:$D$180,B13,HES_177!$R$4:$R$180,"&gt;0")</x:f>
        <x:v>0</x:v>
      </x:c>
      <x:c r="H13" s="101" t="str">
        <x:v>https://cbs1.tarimorman.gov.tr/server/rest/services/TATUS/FeatureServer/11/query?where=ID%3D10&amp;outFields=ID%2CHAVZA_ADI%2CALAN_KM2&amp;returnGeometry=true&amp;outSR=4326&amp;f=geojson</x:v>
      </x:c>
    </x:row>
    <x:row r="14">
      <x:c r="A14" s="119" t="n">
        <x:v>11</x:v>
      </x:c>
      <x:c r="B14" s="29" t="str">
        <x:v>Akarçay</x:v>
      </x:c>
      <x:c r="C14" s="29" t="n">
        <x:f>COUNTIF(HES_177!$D$4:$D$180,B14)</x:f>
        <x:v>0</x:v>
      </x:c>
      <x:c r="D14" s="51" t="n">
        <x:f>SUMIF(HES_177!$D$4:$D$180,B14,HES_177!$N$4:$N$180)</x:f>
        <x:v>0</x:v>
      </x:c>
      <x:c r="E14" s="29" t="n">
        <x:f>COUNTIFS(HES_177!$D$4:$D$180,B14,HES_177!$O$4:$O$180,"&gt;0")</x:f>
        <x:v>0</x:v>
      </x:c>
      <x:c r="F14" s="29" t="n">
        <x:f>COUNTIFS(HES_177!$D$4:$D$180,B14,HES_177!$I$4:$I$180,"&lt;&gt;")</x:f>
        <x:v>0</x:v>
      </x:c>
      <x:c r="G14" s="29" t="n">
        <x:f>COUNTIFS(HES_177!$D$4:$D$180,B14,HES_177!$R$4:$R$180,"&gt;0")</x:f>
        <x:v>0</x:v>
      </x:c>
      <x:c r="H14" s="101" t="str">
        <x:v>https://cbs1.tarimorman.gov.tr/server/rest/services/TATUS/FeatureServer/11/query?where=ID%3D11&amp;outFields=ID%2CHAVZA_ADI%2CALAN_KM2&amp;returnGeometry=true&amp;outSR=4326&amp;f=geojson</x:v>
      </x:c>
    </x:row>
    <x:row r="15">
      <x:c r="A15" s="119" t="n">
        <x:v>12</x:v>
      </x:c>
      <x:c r="B15" s="29" t="str">
        <x:v>Sakarya</x:v>
      </x:c>
      <x:c r="C15" s="29" t="n">
        <x:f>COUNTIF(HES_177!$D$4:$D$180,B15)</x:f>
        <x:v>5</x:v>
      </x:c>
      <x:c r="D15" s="51" t="n">
        <x:f>SUMIF(HES_177!$D$4:$D$180,B15,HES_177!$N$4:$N$180)</x:f>
        <x:v>612.9</x:v>
      </x:c>
      <x:c r="E15" s="29" t="n">
        <x:f>COUNTIFS(HES_177!$D$4:$D$180,B15,HES_177!$O$4:$O$180,"&gt;0")</x:f>
        <x:v>5</x:v>
      </x:c>
      <x:c r="F15" s="29" t="n">
        <x:f>COUNTIFS(HES_177!$D$4:$D$180,B15,HES_177!$I$4:$I$180,"&lt;&gt;")</x:f>
        <x:v>1</x:v>
      </x:c>
      <x:c r="G15" s="29" t="n">
        <x:f>COUNTIFS(HES_177!$D$4:$D$180,B15,HES_177!$R$4:$R$180,"&gt;0")</x:f>
        <x:v>4</x:v>
      </x:c>
      <x:c r="H15" s="101" t="str">
        <x:v>https://cbs1.tarimorman.gov.tr/server/rest/services/TATUS/FeatureServer/11/query?where=ID%3D12&amp;outFields=ID%2CHAVZA_ADI%2CALAN_KM2&amp;returnGeometry=true&amp;outSR=4326&amp;f=geojson</x:v>
      </x:c>
    </x:row>
    <x:row r="16">
      <x:c r="A16" s="119" t="n">
        <x:v>13</x:v>
      </x:c>
      <x:c r="B16" s="29" t="str">
        <x:v>Batı Karadeniz</x:v>
      </x:c>
      <x:c r="C16" s="29" t="n">
        <x:f>COUNTIF(HES_177!$D$4:$D$180,B16)</x:f>
        <x:v>5</x:v>
      </x:c>
      <x:c r="D16" s="51" t="n">
        <x:f>SUMIF(HES_177!$D$4:$D$180,B16,HES_177!$N$4:$N$180)</x:f>
        <x:v>133.4</x:v>
      </x:c>
      <x:c r="E16" s="29" t="n">
        <x:f>COUNTIFS(HES_177!$D$4:$D$180,B16,HES_177!$O$4:$O$180,"&gt;0")</x:f>
        <x:v>4</x:v>
      </x:c>
      <x:c r="F16" s="29" t="n">
        <x:f>COUNTIFS(HES_177!$D$4:$D$180,B16,HES_177!$I$4:$I$180,"&lt;&gt;")</x:f>
        <x:v>1</x:v>
      </x:c>
      <x:c r="G16" s="29" t="n">
        <x:f>COUNTIFS(HES_177!$D$4:$D$180,B16,HES_177!$R$4:$R$180,"&gt;0")</x:f>
        <x:v>4</x:v>
      </x:c>
      <x:c r="H16" s="101" t="str">
        <x:v>https://cbs1.tarimorman.gov.tr/server/rest/services/TATUS/FeatureServer/11/query?where=ID%3D13&amp;outFields=ID%2CHAVZA_ADI%2CALAN_KM2&amp;returnGeometry=true&amp;outSR=4326&amp;f=geojson</x:v>
      </x:c>
    </x:row>
    <x:row r="17">
      <x:c r="A17" s="119" t="n">
        <x:v>14</x:v>
      </x:c>
      <x:c r="B17" s="29" t="str">
        <x:v>Yeşilırmak</x:v>
      </x:c>
      <x:c r="C17" s="29" t="n">
        <x:f>COUNTIF(HES_177!$D$4:$D$180,B17)</x:f>
        <x:v>18</x:v>
      </x:c>
      <x:c r="D17" s="51" t="n">
        <x:f>SUMIF(HES_177!$D$4:$D$180,B17,HES_177!$N$4:$N$180)</x:f>
        <x:v>1094.74</x:v>
      </x:c>
      <x:c r="E17" s="29" t="n">
        <x:f>COUNTIFS(HES_177!$D$4:$D$180,B17,HES_177!$O$4:$O$180,"&gt;0")</x:f>
        <x:v>12</x:v>
      </x:c>
      <x:c r="F17" s="29" t="n">
        <x:f>COUNTIFS(HES_177!$D$4:$D$180,B17,HES_177!$I$4:$I$180,"&lt;&gt;")</x:f>
        <x:v>6</x:v>
      </x:c>
      <x:c r="G17" s="29" t="n">
        <x:f>COUNTIFS(HES_177!$D$4:$D$180,B17,HES_177!$R$4:$R$180,"&gt;0")</x:f>
        <x:v>9</x:v>
      </x:c>
      <x:c r="H17" s="101" t="str">
        <x:v>https://cbs1.tarimorman.gov.tr/server/rest/services/TATUS/FeatureServer/11/query?where=ID%3D14&amp;outFields=ID%2CHAVZA_ADI%2CALAN_KM2&amp;returnGeometry=true&amp;outSR=4326&amp;f=geojson</x:v>
      </x:c>
    </x:row>
    <x:row r="18">
      <x:c r="A18" s="119" t="n">
        <x:v>15</x:v>
      </x:c>
      <x:c r="B18" s="29" t="str">
        <x:v>Kızılırmak</x:v>
      </x:c>
      <x:c r="C18" s="29" t="n">
        <x:f>COUNTIF(HES_177!$D$4:$D$180,B18)</x:f>
        <x:v>11</x:v>
      </x:c>
      <x:c r="D18" s="51" t="n">
        <x:f>SUMIF(HES_177!$D$4:$D$180,B18,HES_177!$N$4:$N$180)</x:f>
        <x:v>1503.7</x:v>
      </x:c>
      <x:c r="E18" s="29" t="n">
        <x:f>COUNTIFS(HES_177!$D$4:$D$180,B18,HES_177!$O$4:$O$180,"&gt;0")</x:f>
        <x:v>11</x:v>
      </x:c>
      <x:c r="F18" s="29" t="n">
        <x:f>COUNTIFS(HES_177!$D$4:$D$180,B18,HES_177!$I$4:$I$180,"&lt;&gt;")</x:f>
        <x:v>7</x:v>
      </x:c>
      <x:c r="G18" s="29" t="n">
        <x:f>COUNTIFS(HES_177!$D$4:$D$180,B18,HES_177!$R$4:$R$180,"&gt;0")</x:f>
        <x:v>11</x:v>
      </x:c>
      <x:c r="H18" s="101" t="str">
        <x:v>https://cbs1.tarimorman.gov.tr/server/rest/services/TATUS/FeatureServer/11/query?where=ID%3D15&amp;outFields=ID%2CHAVZA_ADI%2CALAN_KM2&amp;returnGeometry=true&amp;outSR=4326&amp;f=geojson</x:v>
      </x:c>
    </x:row>
    <x:row r="19">
      <x:c r="A19" s="119" t="n">
        <x:v>16</x:v>
      </x:c>
      <x:c r="B19" s="29" t="str">
        <x:v>Konya Kapalı</x:v>
      </x:c>
      <x:c r="C19" s="29" t="n">
        <x:f>COUNTIF(HES_177!$D$4:$D$180,B19)</x:f>
        <x:v>1</x:v>
      </x:c>
      <x:c r="D19" s="51" t="n">
        <x:f>SUMIF(HES_177!$D$4:$D$180,B19,HES_177!$N$4:$N$180)</x:f>
        <x:v>18.838</x:v>
      </x:c>
      <x:c r="E19" s="29" t="n">
        <x:f>COUNTIFS(HES_177!$D$4:$D$180,B19,HES_177!$O$4:$O$180,"&gt;0")</x:f>
        <x:v>0</x:v>
      </x:c>
      <x:c r="F19" s="29" t="n">
        <x:f>COUNTIFS(HES_177!$D$4:$D$180,B19,HES_177!$I$4:$I$180,"&lt;&gt;")</x:f>
        <x:v>0</x:v>
      </x:c>
      <x:c r="G19" s="29" t="n">
        <x:f>COUNTIFS(HES_177!$D$4:$D$180,B19,HES_177!$R$4:$R$180,"&gt;0")</x:f>
        <x:v>0</x:v>
      </x:c>
      <x:c r="H19" s="101" t="str">
        <x:v>https://cbs1.tarimorman.gov.tr/server/rest/services/TATUS/FeatureServer/11/query?where=ID%3D16&amp;outFields=ID%2CHAVZA_ADI%2CALAN_KM2&amp;returnGeometry=true&amp;outSR=4326&amp;f=geojson</x:v>
      </x:c>
    </x:row>
    <x:row r="20">
      <x:c r="A20" s="119" t="n">
        <x:v>17</x:v>
      </x:c>
      <x:c r="B20" s="29" t="str">
        <x:v>Doğu Akdeniz</x:v>
      </x:c>
      <x:c r="C20" s="29" t="n">
        <x:f>COUNTIF(HES_177!$D$4:$D$180,B20)</x:f>
        <x:v>8</x:v>
      </x:c>
      <x:c r="D20" s="51" t="n">
        <x:f>SUMIF(HES_177!$D$4:$D$180,B20,HES_177!$N$4:$N$180)</x:f>
        <x:v>716</x:v>
      </x:c>
      <x:c r="E20" s="29" t="n">
        <x:f>COUNTIFS(HES_177!$D$4:$D$180,B20,HES_177!$O$4:$O$180,"&gt;0")</x:f>
        <x:v>6</x:v>
      </x:c>
      <x:c r="F20" s="29" t="n">
        <x:f>COUNTIFS(HES_177!$D$4:$D$180,B20,HES_177!$I$4:$I$180,"&lt;&gt;")</x:f>
        <x:v>3</x:v>
      </x:c>
      <x:c r="G20" s="29" t="n">
        <x:f>COUNTIFS(HES_177!$D$4:$D$180,B20,HES_177!$R$4:$R$180,"&gt;0")</x:f>
        <x:v>6</x:v>
      </x:c>
      <x:c r="H20" s="101" t="str">
        <x:v>https://cbs1.tarimorman.gov.tr/server/rest/services/TATUS/FeatureServer/11/query?where=ID%3D17&amp;outFields=ID%2CHAVZA_ADI%2CALAN_KM2&amp;returnGeometry=true&amp;outSR=4326&amp;f=geojson</x:v>
      </x:c>
    </x:row>
    <x:row r="21">
      <x:c r="A21" s="119" t="n">
        <x:v>18</x:v>
      </x:c>
      <x:c r="B21" s="29" t="str">
        <x:v>Seyhan</x:v>
      </x:c>
      <x:c r="C21" s="29" t="n">
        <x:f>COUNTIF(HES_177!$D$4:$D$180,B21)</x:f>
        <x:v>11</x:v>
      </x:c>
      <x:c r="D21" s="51" t="n">
        <x:f>SUMIF(HES_177!$D$4:$D$180,B21,HES_177!$N$4:$N$180)</x:f>
        <x:v>1197.34</x:v>
      </x:c>
      <x:c r="E21" s="29" t="n">
        <x:f>COUNTIFS(HES_177!$D$4:$D$180,B21,HES_177!$O$4:$O$180,"&gt;0")</x:f>
        <x:v>10</x:v>
      </x:c>
      <x:c r="F21" s="29" t="n">
        <x:f>COUNTIFS(HES_177!$D$4:$D$180,B21,HES_177!$I$4:$I$180,"&lt;&gt;")</x:f>
        <x:v>8</x:v>
      </x:c>
      <x:c r="G21" s="29" t="n">
        <x:f>COUNTIFS(HES_177!$D$4:$D$180,B21,HES_177!$R$4:$R$180,"&gt;0")</x:f>
        <x:v>9</x:v>
      </x:c>
      <x:c r="H21" s="101" t="str">
        <x:v>https://cbs1.tarimorman.gov.tr/server/rest/services/TATUS/FeatureServer/11/query?where=ID%3D18&amp;outFields=ID%2CHAVZA_ADI%2CALAN_KM2&amp;returnGeometry=true&amp;outSR=4326&amp;f=geojson</x:v>
      </x:c>
    </x:row>
    <x:row r="22">
      <x:c r="A22" s="119" t="n">
        <x:v>19</x:v>
      </x:c>
      <x:c r="B22" s="29" t="str">
        <x:v>Asi</x:v>
      </x:c>
      <x:c r="C22" s="29" t="n">
        <x:f>COUNTIF(HES_177!$D$4:$D$180,B22)</x:f>
        <x:v>1</x:v>
      </x:c>
      <x:c r="D22" s="51" t="n">
        <x:f>SUMIF(HES_177!$D$4:$D$180,B22,HES_177!$N$4:$N$180)</x:f>
        <x:v>3.3</x:v>
      </x:c>
      <x:c r="E22" s="29" t="n">
        <x:f>COUNTIFS(HES_177!$D$4:$D$180,B22,HES_177!$O$4:$O$180,"&gt;0")</x:f>
        <x:v>1</x:v>
      </x:c>
      <x:c r="F22" s="29" t="n">
        <x:f>COUNTIFS(HES_177!$D$4:$D$180,B22,HES_177!$I$4:$I$180,"&lt;&gt;")</x:f>
        <x:v>1</x:v>
      </x:c>
      <x:c r="G22" s="29" t="n">
        <x:f>COUNTIFS(HES_177!$D$4:$D$180,B22,HES_177!$R$4:$R$180,"&gt;0")</x:f>
        <x:v>1</x:v>
      </x:c>
      <x:c r="H22" s="101" t="str">
        <x:v>https://cbs1.tarimorman.gov.tr/server/rest/services/TATUS/FeatureServer/11/query?where=ID%3D19&amp;outFields=ID%2CHAVZA_ADI%2CALAN_KM2&amp;returnGeometry=true&amp;outSR=4326&amp;f=geojson</x:v>
      </x:c>
    </x:row>
    <x:row r="23">
      <x:c r="A23" s="119" t="n">
        <x:v>20</x:v>
      </x:c>
      <x:c r="B23" s="29" t="str">
        <x:v>Ceyhan</x:v>
      </x:c>
      <x:c r="C23" s="29" t="n">
        <x:f>COUNTIF(HES_177!$D$4:$D$180,B23)</x:f>
        <x:v>15</x:v>
      </x:c>
      <x:c r="D23" s="51" t="n">
        <x:f>SUMIF(HES_177!$D$4:$D$180,B23,HES_177!$N$4:$N$180)</x:f>
        <x:v>1639.2</x:v>
      </x:c>
      <x:c r="E23" s="29" t="n">
        <x:f>COUNTIFS(HES_177!$D$4:$D$180,B23,HES_177!$O$4:$O$180,"&gt;0")</x:f>
        <x:v>12</x:v>
      </x:c>
      <x:c r="F23" s="29" t="n">
        <x:f>COUNTIFS(HES_177!$D$4:$D$180,B23,HES_177!$I$4:$I$180,"&lt;&gt;")</x:f>
        <x:v>7</x:v>
      </x:c>
      <x:c r="G23" s="29" t="n">
        <x:f>COUNTIFS(HES_177!$D$4:$D$180,B23,HES_177!$R$4:$R$180,"&gt;0")</x:f>
        <x:v>10</x:v>
      </x:c>
      <x:c r="H23" s="101" t="str">
        <x:v>https://cbs1.tarimorman.gov.tr/server/rest/services/TATUS/FeatureServer/11/query?where=ID%3D20&amp;outFields=ID%2CHAVZA_ADI%2CALAN_KM2&amp;returnGeometry=true&amp;outSR=4326&amp;f=geojson</x:v>
      </x:c>
    </x:row>
    <x:row r="24">
      <x:c r="A24" s="119" t="n">
        <x:v>21</x:v>
      </x:c>
      <x:c r="B24" s="29" t="str">
        <x:v>Fırat-Dicle</x:v>
      </x:c>
      <x:c r="C24" s="29" t="n">
        <x:f>COUNTIF(HES_177!$D$4:$D$180,B24)</x:f>
        <x:v>41</x:v>
      </x:c>
      <x:c r="D24" s="51" t="n">
        <x:f>SUMIF(HES_177!$D$4:$D$180,B24,HES_177!$N$4:$N$180)</x:f>
        <x:v>12090.146</x:v>
      </x:c>
      <x:c r="E24" s="29" t="n">
        <x:f>COUNTIFS(HES_177!$D$4:$D$180,B24,HES_177!$O$4:$O$180,"&gt;0")</x:f>
        <x:v>1</x:v>
      </x:c>
      <x:c r="F24" s="29" t="n">
        <x:f>COUNTIFS(HES_177!$D$4:$D$180,B24,HES_177!$I$4:$I$180,"&lt;&gt;")</x:f>
        <x:v>2</x:v>
      </x:c>
      <x:c r="G24" s="29" t="n">
        <x:f>COUNTIFS(HES_177!$D$4:$D$180,B24,HES_177!$R$4:$R$180,"&gt;0")</x:f>
        <x:v>0</x:v>
      </x:c>
      <x:c r="H24" s="101" t="str">
        <x:v>https://cbs1.tarimorman.gov.tr/server/rest/services/TATUS/FeatureServer/11/query?where=ID%3D21&amp;outFields=ID%2CHAVZA_ADI%2CALAN_KM2&amp;returnGeometry=true&amp;outSR=4326&amp;f=geojson</x:v>
      </x:c>
    </x:row>
    <x:row r="25">
      <x:c r="A25" s="119" t="n">
        <x:v>22</x:v>
      </x:c>
      <x:c r="B25" s="29" t="str">
        <x:v>Doğu Karadeniz</x:v>
      </x:c>
      <x:c r="C25" s="29" t="n">
        <x:f>COUNTIF(HES_177!$D$4:$D$180,B25)</x:f>
        <x:v>14</x:v>
      </x:c>
      <x:c r="D25" s="51" t="n">
        <x:f>SUMIF(HES_177!$D$4:$D$180,B25,HES_177!$N$4:$N$180)</x:f>
        <x:v>1203.68</x:v>
      </x:c>
      <x:c r="E25" s="29" t="n">
        <x:f>COUNTIFS(HES_177!$D$4:$D$180,B25,HES_177!$O$4:$O$180,"&gt;0")</x:f>
        <x:v>4</x:v>
      </x:c>
      <x:c r="F25" s="29" t="n">
        <x:f>COUNTIFS(HES_177!$D$4:$D$180,B25,HES_177!$I$4:$I$180,"&lt;&gt;")</x:f>
        <x:v>3</x:v>
      </x:c>
      <x:c r="G25" s="29" t="n">
        <x:f>COUNTIFS(HES_177!$D$4:$D$180,B25,HES_177!$R$4:$R$180,"&gt;0")</x:f>
        <x:v>3</x:v>
      </x:c>
      <x:c r="H25" s="101" t="str">
        <x:v>https://cbs1.tarimorman.gov.tr/server/rest/services/TATUS/FeatureServer/11/query?where=ID%3D22&amp;outFields=ID%2CHAVZA_ADI%2CALAN_KM2&amp;returnGeometry=true&amp;outSR=4326&amp;f=geojson</x:v>
      </x:c>
    </x:row>
    <x:row r="26">
      <x:c r="A26" s="119" t="n">
        <x:v>23</x:v>
      </x:c>
      <x:c r="B26" s="29" t="str">
        <x:v>Çoruh</x:v>
      </x:c>
      <x:c r="C26" s="29" t="n">
        <x:f>COUNTIF(HES_177!$D$4:$D$180,B26)</x:f>
        <x:v>10</x:v>
      </x:c>
      <x:c r="D26" s="51" t="n">
        <x:f>SUMIF(HES_177!$D$4:$D$180,B26,HES_177!$N$4:$N$180)</x:f>
        <x:v>2483.2</x:v>
      </x:c>
      <x:c r="E26" s="29" t="n">
        <x:f>COUNTIFS(HES_177!$D$4:$D$180,B26,HES_177!$O$4:$O$180,"&gt;0")</x:f>
        <x:v>0</x:v>
      </x:c>
      <x:c r="F26" s="29" t="n">
        <x:f>COUNTIFS(HES_177!$D$4:$D$180,B26,HES_177!$I$4:$I$180,"&lt;&gt;")</x:f>
        <x:v>0</x:v>
      </x:c>
      <x:c r="G26" s="29" t="n">
        <x:f>COUNTIFS(HES_177!$D$4:$D$180,B26,HES_177!$R$4:$R$180,"&gt;0")</x:f>
        <x:v>0</x:v>
      </x:c>
      <x:c r="H26" s="101" t="str">
        <x:v>https://cbs1.tarimorman.gov.tr/server/rest/services/TATUS/FeatureServer/11/query?where=ID%3D23&amp;outFields=ID%2CHAVZA_ADI%2CALAN_KM2&amp;returnGeometry=true&amp;outSR=4326&amp;f=geojson</x:v>
      </x:c>
    </x:row>
    <x:row r="27">
      <x:c r="A27" s="119" t="n">
        <x:v>24</x:v>
      </x:c>
      <x:c r="B27" s="29" t="str">
        <x:v>Aras</x:v>
      </x:c>
      <x:c r="C27" s="29" t="n">
        <x:f>COUNTIF(HES_177!$D$4:$D$180,B27)</x:f>
        <x:v>5</x:v>
      </x:c>
      <x:c r="D27" s="51" t="n">
        <x:f>SUMIF(HES_177!$D$4:$D$180,B27,HES_177!$N$4:$N$180)</x:f>
        <x:v>355.31100000000004</x:v>
      </x:c>
      <x:c r="E27" s="29" t="n">
        <x:f>COUNTIFS(HES_177!$D$4:$D$180,B27,HES_177!$O$4:$O$180,"&gt;0")</x:f>
        <x:v>0</x:v>
      </x:c>
      <x:c r="F27" s="29" t="n">
        <x:f>COUNTIFS(HES_177!$D$4:$D$180,B27,HES_177!$I$4:$I$180,"&lt;&gt;")</x:f>
        <x:v>1</x:v>
      </x:c>
      <x:c r="G27" s="29" t="n">
        <x:f>COUNTIFS(HES_177!$D$4:$D$180,B27,HES_177!$R$4:$R$180,"&gt;0")</x:f>
        <x:v>0</x:v>
      </x:c>
      <x:c r="H27" s="101" t="str">
        <x:v>https://cbs1.tarimorman.gov.tr/server/rest/services/TATUS/FeatureServer/11/query?where=ID%3D24&amp;outFields=ID%2CHAVZA_ADI%2CALAN_KM2&amp;returnGeometry=true&amp;outSR=4326&amp;f=geojson</x:v>
      </x:c>
    </x:row>
    <x:row r="28">
      <x:c r="A28" s="120" t="n">
        <x:v>25</x:v>
      </x:c>
      <x:c r="B28" s="121" t="str">
        <x:v>Van Gölü</x:v>
      </x:c>
      <x:c r="C28" s="121" t="n">
        <x:f>COUNTIF(HES_177!$D$4:$D$180,B28)</x:f>
        <x:v>5</x:v>
      </x:c>
      <x:c r="D28" s="122" t="n">
        <x:f>SUMIF(HES_177!$D$4:$D$180,B28,HES_177!$N$4:$N$180)</x:f>
        <x:v>45.86</x:v>
      </x:c>
      <x:c r="E28" s="121" t="n">
        <x:f>COUNTIFS(HES_177!$D$4:$D$180,B28,HES_177!$O$4:$O$180,"&gt;0")</x:f>
        <x:v>4</x:v>
      </x:c>
      <x:c r="F28" s="121" t="n">
        <x:f>COUNTIFS(HES_177!$D$4:$D$180,B28,HES_177!$I$4:$I$180,"&lt;&gt;")</x:f>
        <x:v>3</x:v>
      </x:c>
      <x:c r="G28" s="121" t="n">
        <x:f>COUNTIFS(HES_177!$D$4:$D$180,B28,HES_177!$R$4:$R$180,"&gt;0")</x:f>
        <x:v>3</x:v>
      </x:c>
      <x:c r="H28" s="108" t="str">
        <x:v>https://cbs1.tarimorman.gov.tr/server/rest/services/TATUS/FeatureServer/11/query?where=ID%3D25&amp;outFields=ID%2CHAVZA_ADI%2CALAN_KM2&amp;returnGeometry=true&amp;outSR=4326&amp;f=geojson</x:v>
      </x:c>
    </x:row>
  </x:sheetData>
  <x:mergeCells>
    <x:mergeCell ref="A1:H1"/>
  </x:mergeCells>
  <x:pageMargins left="0.7" right="0.7" top="0.75" bottom="0.75" header="0.3" footer="0.3"/>
  <x:drawing xmlns:r="http://schemas.openxmlformats.org/officeDocument/2006/relationships" r:id="R85056bf924eb43bd"/>
  <x:tableParts count="1">
    <x:tablePart xmlns:r="http://schemas.openxmlformats.org/officeDocument/2006/relationships" r:id="R01f5d053fcd544c6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24" hidden="0" customWidth="1"/>
    <x:col min="3" max="3" width="14" hidden="0" customWidth="1"/>
    <x:col min="4" max="4" width="10" hidden="0" customWidth="1"/>
    <x:col min="5" max="5" width="70" hidden="0" customWidth="1"/>
  </x:cols>
  <x:sheetData>
    <x:row r="1">
      <x:c r="A1" s="5" t="str">
        <x:v>TATUS Havza Poligonları — Resmî GeoJSON Erişimi</x:v>
      </x:c>
      <x:c r="B1" s="5"/>
      <x:c r="C1" s="5"/>
      <x:c r="D1" s="5"/>
      <x:c r="E1" s="5"/>
    </x:row>
    <x:row r="3">
      <x:c r="A3" s="74" t="str">
        <x:v>Havza ID</x:v>
      </x:c>
      <x:c r="B3" s="75" t="str">
        <x:v>Havza Adı</x:v>
      </x:c>
      <x:c r="C3" s="75" t="str">
        <x:v>Geometri</x:v>
      </x:c>
      <x:c r="D3" s="75" t="str">
        <x:v>EPSG</x:v>
      </x:c>
      <x:c r="E3" s="99" t="str">
        <x:v>GeoJSON Sorgu URL</x:v>
      </x:c>
    </x:row>
    <x:row r="4">
      <x:c r="A4" s="119" t="n">
        <x:v>1</x:v>
      </x:c>
      <x:c r="B4" s="29" t="str">
        <x:v>Meriç-Ergene</x:v>
      </x:c>
      <x:c r="C4" s="29" t="str">
        <x:v>Polygon</x:v>
      </x:c>
      <x:c r="D4" s="29" t="n">
        <x:v>4326</x:v>
      </x:c>
      <x:c r="E4" s="101" t="str">
        <x:v>https://cbs1.tarimorman.gov.tr/server/rest/services/TATUS/FeatureServer/11/query?where=ID%3D1&amp;outFields=ID%2CHAVZA_ADI%2CALAN_KM2&amp;returnGeometry=true&amp;outSR=4326&amp;f=geojson</x:v>
      </x:c>
    </x:row>
    <x:row r="5">
      <x:c r="A5" s="119" t="n">
        <x:v>2</x:v>
      </x:c>
      <x:c r="B5" s="29" t="str">
        <x:v>Marmara</x:v>
      </x:c>
      <x:c r="C5" s="29" t="str">
        <x:v>Polygon</x:v>
      </x:c>
      <x:c r="D5" s="29" t="n">
        <x:v>4326</x:v>
      </x:c>
      <x:c r="E5" s="101" t="str">
        <x:v>https://cbs1.tarimorman.gov.tr/server/rest/services/TATUS/FeatureServer/11/query?where=ID%3D2&amp;outFields=ID%2CHAVZA_ADI%2CALAN_KM2&amp;returnGeometry=true&amp;outSR=4326&amp;f=geojson</x:v>
      </x:c>
    </x:row>
    <x:row r="6">
      <x:c r="A6" s="119" t="n">
        <x:v>3</x:v>
      </x:c>
      <x:c r="B6" s="29" t="str">
        <x:v>Susurluk</x:v>
      </x:c>
      <x:c r="C6" s="29" t="str">
        <x:v>Polygon</x:v>
      </x:c>
      <x:c r="D6" s="29" t="n">
        <x:v>4326</x:v>
      </x:c>
      <x:c r="E6" s="101" t="str">
        <x:v>https://cbs1.tarimorman.gov.tr/server/rest/services/TATUS/FeatureServer/11/query?where=ID%3D3&amp;outFields=ID%2CHAVZA_ADI%2CALAN_KM2&amp;returnGeometry=true&amp;outSR=4326&amp;f=geojson</x:v>
      </x:c>
    </x:row>
    <x:row r="7">
      <x:c r="A7" s="119" t="n">
        <x:v>4</x:v>
      </x:c>
      <x:c r="B7" s="29" t="str">
        <x:v>Kuzey Ege</x:v>
      </x:c>
      <x:c r="C7" s="29" t="str">
        <x:v>Polygon</x:v>
      </x:c>
      <x:c r="D7" s="29" t="n">
        <x:v>4326</x:v>
      </x:c>
      <x:c r="E7" s="101" t="str">
        <x:v>https://cbs1.tarimorman.gov.tr/server/rest/services/TATUS/FeatureServer/11/query?where=ID%3D4&amp;outFields=ID%2CHAVZA_ADI%2CALAN_KM2&amp;returnGeometry=true&amp;outSR=4326&amp;f=geojson</x:v>
      </x:c>
    </x:row>
    <x:row r="8">
      <x:c r="A8" s="119" t="n">
        <x:v>5</x:v>
      </x:c>
      <x:c r="B8" s="29" t="str">
        <x:v>Gediz</x:v>
      </x:c>
      <x:c r="C8" s="29" t="str">
        <x:v>Polygon</x:v>
      </x:c>
      <x:c r="D8" s="29" t="n">
        <x:v>4326</x:v>
      </x:c>
      <x:c r="E8" s="101" t="str">
        <x:v>https://cbs1.tarimorman.gov.tr/server/rest/services/TATUS/FeatureServer/11/query?where=ID%3D5&amp;outFields=ID%2CHAVZA_ADI%2CALAN_KM2&amp;returnGeometry=true&amp;outSR=4326&amp;f=geojson</x:v>
      </x:c>
    </x:row>
    <x:row r="9">
      <x:c r="A9" s="119" t="n">
        <x:v>6</x:v>
      </x:c>
      <x:c r="B9" s="29" t="str">
        <x:v>Küçük Menderes</x:v>
      </x:c>
      <x:c r="C9" s="29" t="str">
        <x:v>Polygon</x:v>
      </x:c>
      <x:c r="D9" s="29" t="n">
        <x:v>4326</x:v>
      </x:c>
      <x:c r="E9" s="101" t="str">
        <x:v>https://cbs1.tarimorman.gov.tr/server/rest/services/TATUS/FeatureServer/11/query?where=ID%3D6&amp;outFields=ID%2CHAVZA_ADI%2CALAN_KM2&amp;returnGeometry=true&amp;outSR=4326&amp;f=geojson</x:v>
      </x:c>
    </x:row>
    <x:row r="10">
      <x:c r="A10" s="119" t="n">
        <x:v>7</x:v>
      </x:c>
      <x:c r="B10" s="29" t="str">
        <x:v>Büyük Menderes</x:v>
      </x:c>
      <x:c r="C10" s="29" t="str">
        <x:v>Polygon</x:v>
      </x:c>
      <x:c r="D10" s="29" t="n">
        <x:v>4326</x:v>
      </x:c>
      <x:c r="E10" s="101" t="str">
        <x:v>https://cbs1.tarimorman.gov.tr/server/rest/services/TATUS/FeatureServer/11/query?where=ID%3D7&amp;outFields=ID%2CHAVZA_ADI%2CALAN_KM2&amp;returnGeometry=true&amp;outSR=4326&amp;f=geojson</x:v>
      </x:c>
    </x:row>
    <x:row r="11">
      <x:c r="A11" s="119" t="n">
        <x:v>8</x:v>
      </x:c>
      <x:c r="B11" s="29" t="str">
        <x:v>Batı Akdeniz</x:v>
      </x:c>
      <x:c r="C11" s="29" t="str">
        <x:v>Polygon</x:v>
      </x:c>
      <x:c r="D11" s="29" t="n">
        <x:v>4326</x:v>
      </x:c>
      <x:c r="E11" s="101" t="str">
        <x:v>https://cbs1.tarimorman.gov.tr/server/rest/services/TATUS/FeatureServer/11/query?where=ID%3D8&amp;outFields=ID%2CHAVZA_ADI%2CALAN_KM2&amp;returnGeometry=true&amp;outSR=4326&amp;f=geojson</x:v>
      </x:c>
    </x:row>
    <x:row r="12">
      <x:c r="A12" s="119" t="n">
        <x:v>9</x:v>
      </x:c>
      <x:c r="B12" s="29" t="str">
        <x:v>Antalya</x:v>
      </x:c>
      <x:c r="C12" s="29" t="str">
        <x:v>Polygon</x:v>
      </x:c>
      <x:c r="D12" s="29" t="n">
        <x:v>4326</x:v>
      </x:c>
      <x:c r="E12" s="101" t="str">
        <x:v>https://cbs1.tarimorman.gov.tr/server/rest/services/TATUS/FeatureServer/11/query?where=ID%3D9&amp;outFields=ID%2CHAVZA_ADI%2CALAN_KM2&amp;returnGeometry=true&amp;outSR=4326&amp;f=geojson</x:v>
      </x:c>
    </x:row>
    <x:row r="13">
      <x:c r="A13" s="119" t="n">
        <x:v>10</x:v>
      </x:c>
      <x:c r="B13" s="29" t="str">
        <x:v>Burdur</x:v>
      </x:c>
      <x:c r="C13" s="29" t="str">
        <x:v>Polygon</x:v>
      </x:c>
      <x:c r="D13" s="29" t="n">
        <x:v>4326</x:v>
      </x:c>
      <x:c r="E13" s="101" t="str">
        <x:v>https://cbs1.tarimorman.gov.tr/server/rest/services/TATUS/FeatureServer/11/query?where=ID%3D10&amp;outFields=ID%2CHAVZA_ADI%2CALAN_KM2&amp;returnGeometry=true&amp;outSR=4326&amp;f=geojson</x:v>
      </x:c>
    </x:row>
    <x:row r="14">
      <x:c r="A14" s="119" t="n">
        <x:v>11</x:v>
      </x:c>
      <x:c r="B14" s="29" t="str">
        <x:v>Akarçay</x:v>
      </x:c>
      <x:c r="C14" s="29" t="str">
        <x:v>Polygon</x:v>
      </x:c>
      <x:c r="D14" s="29" t="n">
        <x:v>4326</x:v>
      </x:c>
      <x:c r="E14" s="101" t="str">
        <x:v>https://cbs1.tarimorman.gov.tr/server/rest/services/TATUS/FeatureServer/11/query?where=ID%3D11&amp;outFields=ID%2CHAVZA_ADI%2CALAN_KM2&amp;returnGeometry=true&amp;outSR=4326&amp;f=geojson</x:v>
      </x:c>
    </x:row>
    <x:row r="15">
      <x:c r="A15" s="119" t="n">
        <x:v>12</x:v>
      </x:c>
      <x:c r="B15" s="29" t="str">
        <x:v>Sakarya</x:v>
      </x:c>
      <x:c r="C15" s="29" t="str">
        <x:v>Polygon</x:v>
      </x:c>
      <x:c r="D15" s="29" t="n">
        <x:v>4326</x:v>
      </x:c>
      <x:c r="E15" s="101" t="str">
        <x:v>https://cbs1.tarimorman.gov.tr/server/rest/services/TATUS/FeatureServer/11/query?where=ID%3D12&amp;outFields=ID%2CHAVZA_ADI%2CALAN_KM2&amp;returnGeometry=true&amp;outSR=4326&amp;f=geojson</x:v>
      </x:c>
    </x:row>
    <x:row r="16">
      <x:c r="A16" s="119" t="n">
        <x:v>13</x:v>
      </x:c>
      <x:c r="B16" s="29" t="str">
        <x:v>Batı Karadeniz</x:v>
      </x:c>
      <x:c r="C16" s="29" t="str">
        <x:v>Polygon</x:v>
      </x:c>
      <x:c r="D16" s="29" t="n">
        <x:v>4326</x:v>
      </x:c>
      <x:c r="E16" s="101" t="str">
        <x:v>https://cbs1.tarimorman.gov.tr/server/rest/services/TATUS/FeatureServer/11/query?where=ID%3D13&amp;outFields=ID%2CHAVZA_ADI%2CALAN_KM2&amp;returnGeometry=true&amp;outSR=4326&amp;f=geojson</x:v>
      </x:c>
    </x:row>
    <x:row r="17">
      <x:c r="A17" s="119" t="n">
        <x:v>14</x:v>
      </x:c>
      <x:c r="B17" s="29" t="str">
        <x:v>Yeşilırmak</x:v>
      </x:c>
      <x:c r="C17" s="29" t="str">
        <x:v>Polygon</x:v>
      </x:c>
      <x:c r="D17" s="29" t="n">
        <x:v>4326</x:v>
      </x:c>
      <x:c r="E17" s="101" t="str">
        <x:v>https://cbs1.tarimorman.gov.tr/server/rest/services/TATUS/FeatureServer/11/query?where=ID%3D14&amp;outFields=ID%2CHAVZA_ADI%2CALAN_KM2&amp;returnGeometry=true&amp;outSR=4326&amp;f=geojson</x:v>
      </x:c>
    </x:row>
    <x:row r="18">
      <x:c r="A18" s="119" t="n">
        <x:v>15</x:v>
      </x:c>
      <x:c r="B18" s="29" t="str">
        <x:v>Kızılırmak</x:v>
      </x:c>
      <x:c r="C18" s="29" t="str">
        <x:v>Polygon</x:v>
      </x:c>
      <x:c r="D18" s="29" t="n">
        <x:v>4326</x:v>
      </x:c>
      <x:c r="E18" s="101" t="str">
        <x:v>https://cbs1.tarimorman.gov.tr/server/rest/services/TATUS/FeatureServer/11/query?where=ID%3D15&amp;outFields=ID%2CHAVZA_ADI%2CALAN_KM2&amp;returnGeometry=true&amp;outSR=4326&amp;f=geojson</x:v>
      </x:c>
    </x:row>
    <x:row r="19">
      <x:c r="A19" s="119" t="n">
        <x:v>16</x:v>
      </x:c>
      <x:c r="B19" s="29" t="str">
        <x:v>Konya Kapalı</x:v>
      </x:c>
      <x:c r="C19" s="29" t="str">
        <x:v>Polygon</x:v>
      </x:c>
      <x:c r="D19" s="29" t="n">
        <x:v>4326</x:v>
      </x:c>
      <x:c r="E19" s="101" t="str">
        <x:v>https://cbs1.tarimorman.gov.tr/server/rest/services/TATUS/FeatureServer/11/query?where=ID%3D16&amp;outFields=ID%2CHAVZA_ADI%2CALAN_KM2&amp;returnGeometry=true&amp;outSR=4326&amp;f=geojson</x:v>
      </x:c>
    </x:row>
    <x:row r="20">
      <x:c r="A20" s="119" t="n">
        <x:v>17</x:v>
      </x:c>
      <x:c r="B20" s="29" t="str">
        <x:v>Doğu Akdeniz</x:v>
      </x:c>
      <x:c r="C20" s="29" t="str">
        <x:v>Polygon</x:v>
      </x:c>
      <x:c r="D20" s="29" t="n">
        <x:v>4326</x:v>
      </x:c>
      <x:c r="E20" s="101" t="str">
        <x:v>https://cbs1.tarimorman.gov.tr/server/rest/services/TATUS/FeatureServer/11/query?where=ID%3D17&amp;outFields=ID%2CHAVZA_ADI%2CALAN_KM2&amp;returnGeometry=true&amp;outSR=4326&amp;f=geojson</x:v>
      </x:c>
    </x:row>
    <x:row r="21">
      <x:c r="A21" s="119" t="n">
        <x:v>18</x:v>
      </x:c>
      <x:c r="B21" s="29" t="str">
        <x:v>Seyhan</x:v>
      </x:c>
      <x:c r="C21" s="29" t="str">
        <x:v>Polygon</x:v>
      </x:c>
      <x:c r="D21" s="29" t="n">
        <x:v>4326</x:v>
      </x:c>
      <x:c r="E21" s="101" t="str">
        <x:v>https://cbs1.tarimorman.gov.tr/server/rest/services/TATUS/FeatureServer/11/query?where=ID%3D18&amp;outFields=ID%2CHAVZA_ADI%2CALAN_KM2&amp;returnGeometry=true&amp;outSR=4326&amp;f=geojson</x:v>
      </x:c>
    </x:row>
    <x:row r="22">
      <x:c r="A22" s="119" t="n">
        <x:v>19</x:v>
      </x:c>
      <x:c r="B22" s="29" t="str">
        <x:v>Asi</x:v>
      </x:c>
      <x:c r="C22" s="29" t="str">
        <x:v>Polygon</x:v>
      </x:c>
      <x:c r="D22" s="29" t="n">
        <x:v>4326</x:v>
      </x:c>
      <x:c r="E22" s="101" t="str">
        <x:v>https://cbs1.tarimorman.gov.tr/server/rest/services/TATUS/FeatureServer/11/query?where=ID%3D19&amp;outFields=ID%2CHAVZA_ADI%2CALAN_KM2&amp;returnGeometry=true&amp;outSR=4326&amp;f=geojson</x:v>
      </x:c>
    </x:row>
    <x:row r="23">
      <x:c r="A23" s="119" t="n">
        <x:v>20</x:v>
      </x:c>
      <x:c r="B23" s="29" t="str">
        <x:v>Ceyhan</x:v>
      </x:c>
      <x:c r="C23" s="29" t="str">
        <x:v>Polygon</x:v>
      </x:c>
      <x:c r="D23" s="29" t="n">
        <x:v>4326</x:v>
      </x:c>
      <x:c r="E23" s="101" t="str">
        <x:v>https://cbs1.tarimorman.gov.tr/server/rest/services/TATUS/FeatureServer/11/query?where=ID%3D20&amp;outFields=ID%2CHAVZA_ADI%2CALAN_KM2&amp;returnGeometry=true&amp;outSR=4326&amp;f=geojson</x:v>
      </x:c>
    </x:row>
    <x:row r="24">
      <x:c r="A24" s="119" t="n">
        <x:v>21</x:v>
      </x:c>
      <x:c r="B24" s="29" t="str">
        <x:v>Fırat-Dicle</x:v>
      </x:c>
      <x:c r="C24" s="29" t="str">
        <x:v>Polygon</x:v>
      </x:c>
      <x:c r="D24" s="29" t="n">
        <x:v>4326</x:v>
      </x:c>
      <x:c r="E24" s="101" t="str">
        <x:v>https://cbs1.tarimorman.gov.tr/server/rest/services/TATUS/FeatureServer/11/query?where=ID%3D21&amp;outFields=ID%2CHAVZA_ADI%2CALAN_KM2&amp;returnGeometry=true&amp;outSR=4326&amp;f=geojson</x:v>
      </x:c>
    </x:row>
    <x:row r="25">
      <x:c r="A25" s="119" t="n">
        <x:v>22</x:v>
      </x:c>
      <x:c r="B25" s="29" t="str">
        <x:v>Doğu Karadeniz</x:v>
      </x:c>
      <x:c r="C25" s="29" t="str">
        <x:v>Polygon</x:v>
      </x:c>
      <x:c r="D25" s="29" t="n">
        <x:v>4326</x:v>
      </x:c>
      <x:c r="E25" s="101" t="str">
        <x:v>https://cbs1.tarimorman.gov.tr/server/rest/services/TATUS/FeatureServer/11/query?where=ID%3D22&amp;outFields=ID%2CHAVZA_ADI%2CALAN_KM2&amp;returnGeometry=true&amp;outSR=4326&amp;f=geojson</x:v>
      </x:c>
    </x:row>
    <x:row r="26">
      <x:c r="A26" s="119" t="n">
        <x:v>23</x:v>
      </x:c>
      <x:c r="B26" s="29" t="str">
        <x:v>Çoruh</x:v>
      </x:c>
      <x:c r="C26" s="29" t="str">
        <x:v>Polygon</x:v>
      </x:c>
      <x:c r="D26" s="29" t="n">
        <x:v>4326</x:v>
      </x:c>
      <x:c r="E26" s="101" t="str">
        <x:v>https://cbs1.tarimorman.gov.tr/server/rest/services/TATUS/FeatureServer/11/query?where=ID%3D23&amp;outFields=ID%2CHAVZA_ADI%2CALAN_KM2&amp;returnGeometry=true&amp;outSR=4326&amp;f=geojson</x:v>
      </x:c>
    </x:row>
    <x:row r="27">
      <x:c r="A27" s="119" t="n">
        <x:v>24</x:v>
      </x:c>
      <x:c r="B27" s="29" t="str">
        <x:v>Aras</x:v>
      </x:c>
      <x:c r="C27" s="29" t="str">
        <x:v>Polygon</x:v>
      </x:c>
      <x:c r="D27" s="29" t="n">
        <x:v>4326</x:v>
      </x:c>
      <x:c r="E27" s="101" t="str">
        <x:v>https://cbs1.tarimorman.gov.tr/server/rest/services/TATUS/FeatureServer/11/query?where=ID%3D24&amp;outFields=ID%2CHAVZA_ADI%2CALAN_KM2&amp;returnGeometry=true&amp;outSR=4326&amp;f=geojson</x:v>
      </x:c>
    </x:row>
    <x:row r="28">
      <x:c r="A28" s="120" t="n">
        <x:v>25</x:v>
      </x:c>
      <x:c r="B28" s="121" t="str">
        <x:v>Van Gölü</x:v>
      </x:c>
      <x:c r="C28" s="121" t="str">
        <x:v>Polygon</x:v>
      </x:c>
      <x:c r="D28" s="121" t="n">
        <x:v>4326</x:v>
      </x:c>
      <x:c r="E28" s="108" t="str">
        <x:v>https://cbs1.tarimorman.gov.tr/server/rest/services/TATUS/FeatureServer/11/query?where=ID%3D25&amp;outFields=ID%2CHAVZA_ADI%2CALAN_KM2&amp;returnGeometry=true&amp;outSR=4326&amp;f=geojson</x:v>
      </x:c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aef96d2ee10144a0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25" hidden="0" customWidth="1"/>
    <x:col min="3" max="3" width="12" hidden="0" customWidth="1"/>
    <x:col min="4" max="4" width="68" hidden="0" customWidth="1"/>
    <x:col min="5" max="5" width="55" hidden="0" customWidth="1"/>
  </x:cols>
  <x:sheetData>
    <x:row r="1">
      <x:c r="A1" s="5" t="str">
        <x:v>Kaynaklar ve Veri Soy Ağacı</x:v>
      </x:c>
      <x:c r="B1" s="5"/>
      <x:c r="C1" s="5"/>
      <x:c r="D1" s="5"/>
      <x:c r="E1" s="5"/>
    </x:row>
    <x:row r="3">
      <x:c r="A3" s="74" t="str">
        <x:v>Tür</x:v>
      </x:c>
      <x:c r="B3" s="75" t="str">
        <x:v>Kullanım</x:v>
      </x:c>
      <x:c r="C3" s="75" t="str">
        <x:v>Kayıt/HES</x:v>
      </x:c>
      <x:c r="D3" s="75" t="str">
        <x:v>Kaynak / URL</x:v>
      </x:c>
      <x:c r="E3" s="99" t="str">
        <x:v>Not</x:v>
      </x:c>
    </x:row>
    <x:row r="4">
      <x:c r="A4" s="119" t="str">
        <x:v>Yüklenen Excel</x:v>
      </x:c>
      <x:c r="B4" s="29" t="str">
        <x:v>Ana 177 HES listesi</x:v>
      </x:c>
      <x:c r="C4" s="29" t="n">
        <x:v>177</x:v>
      </x:c>
      <x:c r="D4" s="32" t="str">
        <x:v>HES_LİSTESİ.xlsx</x:v>
      </x:c>
      <x:c r="E4" s="101" t="str">
        <x:v>Ad, havza, maksimum/minimum su seviyesi ve kaskat alanının ana kaynağı.</x:v>
      </x:c>
    </x:row>
    <x:row r="5">
      <x:c r="A5" s="119" t="str">
        <x:v>Yüklenen Excel</x:v>
      </x:c>
      <x:c r="B5" s="29" t="str">
        <x:v>Aktif hacim</x:v>
      </x:c>
      <x:c r="C5" s="29" t="n">
        <x:v>88</x:v>
      </x:c>
      <x:c r="D5" s="32" t="str">
        <x:v>Aktif_Hacim-11092026.xlsx</x:v>
      </x:c>
      <x:c r="E5" s="101" t="str">
        <x:v>EPİAŞ aktif hacim verisi; eşleşen barajlarda kullanıldı.</x:v>
      </x:c>
    </x:row>
    <x:row r="6">
      <x:c r="A6" s="119" t="str">
        <x:v>Yüklenen Excel</x:v>
      </x:c>
      <x:c r="B6" s="29" t="str">
        <x:v>Debi + kurulu güç + il</x:v>
      </x:c>
      <x:c r="C6" s="29" t="n">
        <x:v>116</x:v>
      </x:c>
      <x:c r="D6" s="32" t="str">
        <x:v>Debi_ve_Kurulu_Guc-13092026.xlsx</x:v>
      </x:c>
      <x:c r="E6" s="101" t="str">
        <x:v>Ünite debisi, kurulu güç ve il için öncelikli yüklenen kaynak.</x:v>
      </x:c>
    </x:row>
    <x:row r="7">
      <x:c r="A7" s="119" t="str">
        <x:v>Yüklenen Excel</x:v>
      </x:c>
      <x:c r="B7" s="29" t="str">
        <x:v>Maksimum/minimum hacim</x:v>
      </x:c>
      <x:c r="C7" s="29" t="n">
        <x:v>116</x:v>
      </x:c>
      <x:c r="D7" s="32" t="str">
        <x:v>Hacim-13092026.xlsx</x:v>
      </x:c>
      <x:c r="E7" s="101" t="str">
        <x:v>Maksimum ve minimum hacim değerleri.</x:v>
      </x:c>
    </x:row>
    <x:row r="8">
      <x:c r="A8" s="119" t="str">
        <x:v>Yüklenen Excel</x:v>
      </x:c>
      <x:c r="B8" s="29" t="str">
        <x:v>Maksimum/minimum kot</x:v>
      </x:c>
      <x:c r="C8" s="29" t="n">
        <x:v>116</x:v>
      </x:c>
      <x:c r="D8" s="32" t="str">
        <x:v>Kot-13092026.xlsx</x:v>
      </x:c>
      <x:c r="E8" s="101" t="str">
        <x:v>Santral/baraj eşlemesinde ad eşleşmesine ek olarak kot doğrulaması için kullanıldı.</x:v>
      </x:c>
    </x:row>
    <x:row r="9">
      <x:c r="A9" s="119" t="str">
        <x:v>Yüklenen Excel</x:v>
      </x:c>
      <x:c r="B9" s="29" t="str">
        <x:v>Suyun enerji karşılığı</x:v>
      </x:c>
      <x:c r="C9" s="29" t="n">
        <x:v>88</x:v>
      </x:c>
      <x:c r="D9" s="32" t="str">
        <x:v>Suyun_Enerji_Karsiligi-11092026.xlsx</x:v>
      </x:c>
      <x:c r="E9" s="101" t="str">
        <x:v>Eşleşen barajlarda MWh enerji karşılığı.</x:v>
      </x:c>
    </x:row>
    <x:row r="10">
      <x:c r="A10" s="119" t="str">
        <x:v>Resmî CBS</x:v>
      </x:c>
      <x:c r="B10" s="29" t="str">
        <x:v>Havza sınırları ve baraj coğrafyası</x:v>
      </x:c>
      <x:c r="C10" s="29" t="n">
        <x:v>25</x:v>
      </x:c>
      <x:c r="D10" s="32" t="str">
        <x:v>https://cbs1.tarimorman.gov.tr/server/rest/services/TATUS/FeatureServer</x:v>
      </x:c>
      <x:c r="E10" s="101" t="str">
        <x:v>TATUS; WGS84 / EPSG:4326, havza sınırları Layer 11, baraj gözlem Layer 7.</x:v>
      </x:c>
    </x:row>
    <x:row r="11">
      <x:c r="A11" s="119" t="str">
        <x:v>Açık veri</x:v>
      </x:c>
      <x:c r="B11" s="29" t="str">
        <x:v>Kurulu güç/konum kontrolü</x:v>
      </x:c>
      <x:c r="C11" s="29" t="str">
        <x:v>—</x:v>
      </x:c>
      <x:c r="D11" s="32" t="str">
        <x:v>https://openinframap.org/stats/area/Turkey/plants?source=hydro</x:v>
      </x:c>
      <x:c r="E11" s="101" t="str">
        <x:v>HES kapasite ve ad doğrulamalarında yardımcı açık veri.</x:v>
      </x:c>
    </x:row>
    <x:row r="12">
      <x:c r="A12" s="119" t="str">
        <x:v>Açık veri</x:v>
      </x:c>
      <x:c r="B12" s="29" t="str">
        <x:v>Konum/kapasite çapraz kontrol</x:v>
      </x:c>
      <x:c r="C12" s="29" t="str">
        <x:v>—</x:v>
      </x:c>
      <x:c r="D12" s="32" t="str">
        <x:v>https://datasette.io/global-power-plants</x:v>
      </x:c>
      <x:c r="E12" s="101" t="str">
        <x:v>WRI Global Power Plant Database; yalnız eşleşebilen tesislerde yardımcı kaynak.</x:v>
      </x:c>
    </x:row>
    <x:row r="13">
      <x:c r="A13" s="119" t="str">
        <x:v>Web</x:v>
      </x:c>
      <x:c r="B13" s="29" t="str">
        <x:v>Konum</x:v>
      </x:c>
      <x:c r="C13" s="29" t="n">
        <x:v>37</x:v>
      </x:c>
      <x:c r="D13" s="32" t="str">
        <x:v>https://cbs1.tarimorman.gov.tr/server/rest/services/TATUS/FeatureServer/7</x:v>
      </x:c>
      <x:c r="E13" s="101" t="str">
        <x:v>177 HES listesindeki eksik alanları doğrulamak/zenginleştirmek için kullanıldı.</x:v>
      </x:c>
    </x:row>
    <x:row r="14">
      <x:c r="A14" s="119" t="str">
        <x:v>Web</x:v>
      </x:c>
      <x:c r="B14" s="29" t="str">
        <x:v>Kurulu Güç, İl</x:v>
      </x:c>
      <x:c r="C14" s="29" t="n">
        <x:v>1</x:v>
      </x:c>
      <x:c r="D14" s="32" t="str">
        <x:v>https://csenergy.csglobal.com.tr/tesislerimiz</x:v>
      </x:c>
      <x:c r="E14" s="101" t="str">
        <x:v>177 HES listesindeki eksik alanları doğrulamak/zenginleştirmek için kullanıldı.</x:v>
      </x:c>
    </x:row>
    <x:row r="15">
      <x:c r="A15" s="119" t="str">
        <x:v>Web</x:v>
      </x:c>
      <x:c r="B15" s="29" t="str">
        <x:v>Kurulu Güç, İl</x:v>
      </x:c>
      <x:c r="C15" s="29" t="n">
        <x:v>1</x:v>
      </x:c>
      <x:c r="D15" s="32" t="str">
        <x:v>https://dergipark.org.tr/tr/download/article-file/1173951</x:v>
      </x:c>
      <x:c r="E15" s="101" t="str">
        <x:v>177 HES listesindeki eksik alanları doğrulamak/zenginleştirmek için kullanıldı.</x:v>
      </x:c>
    </x:row>
    <x:row r="16">
      <x:c r="A16" s="119" t="str">
        <x:v>Web</x:v>
      </x:c>
      <x:c r="B16" s="29" t="str">
        <x:v>Kurulu Güç, İl</x:v>
      </x:c>
      <x:c r="C16" s="29" t="n">
        <x:v>1</x:v>
      </x:c>
      <x:c r="D16" s="32" t="str">
        <x:v>https://enerji.dsi.gov.tr/Haber/Detay/10469</x:v>
      </x:c>
      <x:c r="E16" s="101" t="str">
        <x:v>177 HES listesindeki eksik alanları doğrulamak/zenginleştirmek için kullanıldı.</x:v>
      </x:c>
    </x:row>
    <x:row r="17">
      <x:c r="A17" s="119" t="str">
        <x:v>Web</x:v>
      </x:c>
      <x:c r="B17" s="29" t="str">
        <x:v>Kurulu Güç, İl</x:v>
      </x:c>
      <x:c r="C17" s="29" t="n">
        <x:v>1</x:v>
      </x:c>
      <x:c r="D17" s="32" t="str">
        <x:v>https://enerji.dsi.gov.tr/Haber/Detay/11643</x:v>
      </x:c>
      <x:c r="E17" s="101" t="str">
        <x:v>177 HES listesindeki eksik alanları doğrulamak/zenginleştirmek için kullanıldı.</x:v>
      </x:c>
    </x:row>
    <x:row r="18">
      <x:c r="A18" s="119" t="str">
        <x:v>Web</x:v>
      </x:c>
      <x:c r="B18" s="29" t="str">
        <x:v>Kurulu Güç, İl</x:v>
      </x:c>
      <x:c r="C18" s="29" t="n">
        <x:v>1</x:v>
      </x:c>
      <x:c r="D18" s="32" t="str">
        <x:v>https://enerji.dsi.gov.tr/Haber/Detay/844</x:v>
      </x:c>
      <x:c r="E18" s="101" t="str">
        <x:v>177 HES listesindeki eksik alanları doğrulamak/zenginleştirmek için kullanıldı.</x:v>
      </x:c>
    </x:row>
    <x:row r="19">
      <x:c r="A19" s="119" t="str">
        <x:v>Web</x:v>
      </x:c>
      <x:c r="B19" s="29" t="str">
        <x:v>Kurulu Güç</x:v>
      </x:c>
      <x:c r="C19" s="29" t="n">
        <x:v>1</x:v>
      </x:c>
      <x:c r="D19" s="32" t="str">
        <x:v>https://ere.com.tr/wp-content/uploads/2022/06/Hid_pot.pdf</x:v>
      </x:c>
      <x:c r="E19" s="101" t="str">
        <x:v>177 HES listesindeki eksik alanları doğrulamak/zenginleştirmek için kullanıldı.</x:v>
      </x:c>
    </x:row>
    <x:row r="20">
      <x:c r="A20" s="119" t="str">
        <x:v>Web</x:v>
      </x:c>
      <x:c r="B20" s="29" t="str">
        <x:v>Kurulu Güç, İl</x:v>
      </x:c>
      <x:c r="C20" s="29" t="n">
        <x:v>1</x:v>
      </x:c>
      <x:c r="D20" s="32" t="str">
        <x:v>https://financialfilings.com/filings/ayen-enerji-as/annual-report/2026/32909967/</x:v>
      </x:c>
      <x:c r="E20" s="101" t="str">
        <x:v>177 HES listesindeki eksik alanları doğrulamak/zenginleştirmek için kullanıldı.</x:v>
      </x:c>
    </x:row>
    <x:row r="21">
      <x:c r="A21" s="119" t="str">
        <x:v>Web</x:v>
      </x:c>
      <x:c r="B21" s="29" t="str">
        <x:v>Kurulu Güç, İl</x:v>
      </x:c>
      <x:c r="C21" s="29" t="n">
        <x:v>1</x:v>
      </x:c>
      <x:c r="D21" s="32" t="str">
        <x:v>https://hesiad.org.tr/wp-content/uploads/2025/05/15.01.2025-2.pdf</x:v>
      </x:c>
      <x:c r="E21" s="101" t="str">
        <x:v>177 HES listesindeki eksik alanları doğrulamak/zenginleştirmek için kullanıldı.</x:v>
      </x:c>
    </x:row>
    <x:row r="22">
      <x:c r="A22" s="119" t="str">
        <x:v>Web</x:v>
      </x:c>
      <x:c r="B22" s="29" t="str">
        <x:v>Konum</x:v>
      </x:c>
      <x:c r="C22" s="29" t="n">
        <x:v>1</x:v>
      </x:c>
      <x:c r="D22" s="32" t="str">
        <x:v>https://mapcarta.com/W186482628</x:v>
      </x:c>
      <x:c r="E22" s="101" t="str">
        <x:v>177 HES listesindeki eksik alanları doğrulamak/zenginleştirmek için kullanıldı.</x:v>
      </x:c>
    </x:row>
    <x:row r="23">
      <x:c r="A23" s="119" t="str">
        <x:v>Web</x:v>
      </x:c>
      <x:c r="B23" s="29" t="str">
        <x:v>Kurulu Güç, İl</x:v>
      </x:c>
      <x:c r="C23" s="29" t="n">
        <x:v>2</x:v>
      </x:c>
      <x:c r="D23" s="32" t="str">
        <x:v>https://news-content.foreks.com/attachments/kap/4028328d9c81f589019cb50969282455.pdf</x:v>
      </x:c>
      <x:c r="E23" s="101" t="str">
        <x:v>177 HES listesindeki eksik alanları doğrulamak/zenginleştirmek için kullanıldı.</x:v>
      </x:c>
    </x:row>
    <x:row r="24">
      <x:c r="A24" s="119" t="str">
        <x:v>Web</x:v>
      </x:c>
      <x:c r="B24" s="29" t="str">
        <x:v>Kurulu Güç, İl</x:v>
      </x:c>
      <x:c r="C24" s="29" t="n">
        <x:v>58</x:v>
      </x:c>
      <x:c r="D24" s="32" t="str">
        <x:v>https://openinframap.org/stats/area/Turkey/plants?source=hydro</x:v>
      </x:c>
      <x:c r="E24" s="101" t="str">
        <x:v>177 HES listesindeki eksik alanları doğrulamak/zenginleştirmek için kullanıldı.</x:v>
      </x:c>
    </x:row>
    <x:row r="25">
      <x:c r="A25" s="119" t="str">
        <x:v>Web</x:v>
      </x:c>
      <x:c r="B25" s="29" t="str">
        <x:v>Kurulu Güç, İl</x:v>
      </x:c>
      <x:c r="C25" s="29" t="n">
        <x:v>1</x:v>
      </x:c>
      <x:c r="D25" s="32" t="str">
        <x:v>https://pusula-group.com.tr/proje-kategori/hidroelektrik-santral</x:v>
      </x:c>
      <x:c r="E25" s="101" t="str">
        <x:v>177 HES listesindeki eksik alanları doğrulamak/zenginleştirmek için kullanıldı.</x:v>
      </x:c>
    </x:row>
    <x:row r="26">
      <x:c r="A26" s="119" t="str">
        <x:v>Web</x:v>
      </x:c>
      <x:c r="B26" s="29" t="str">
        <x:v>Konum</x:v>
      </x:c>
      <x:c r="C26" s="29" t="n">
        <x:v>1</x:v>
      </x:c>
      <x:c r="D26" s="32" t="str">
        <x:v>https://turkiyebarajlar.com/baraj/alakopru</x:v>
      </x:c>
      <x:c r="E26" s="101" t="str">
        <x:v>177 HES listesindeki eksik alanları doğrulamak/zenginleştirmek için kullanıldı.</x:v>
      </x:c>
    </x:row>
    <x:row r="27">
      <x:c r="A27" s="119" t="str">
        <x:v>Web</x:v>
      </x:c>
      <x:c r="B27" s="29" t="str">
        <x:v>Konum</x:v>
      </x:c>
      <x:c r="C27" s="29" t="n">
        <x:v>1</x:v>
      </x:c>
      <x:c r="D27" s="32" t="str">
        <x:v>https://turkiyebarajlar.com/baraj/altinkaya</x:v>
      </x:c>
      <x:c r="E27" s="101" t="str">
        <x:v>177 HES listesindeki eksik alanları doğrulamak/zenginleştirmek için kullanıldı.</x:v>
      </x:c>
    </x:row>
    <x:row r="28">
      <x:c r="A28" s="119" t="str">
        <x:v>Web</x:v>
      </x:c>
      <x:c r="B28" s="29" t="str">
        <x:v>Konum</x:v>
      </x:c>
      <x:c r="C28" s="29" t="n">
        <x:v>1</x:v>
      </x:c>
      <x:c r="D28" s="32" t="str">
        <x:v>https://turkiyebarajlar.com/baraj/ermenek</x:v>
      </x:c>
      <x:c r="E28" s="101" t="str">
        <x:v>177 HES listesindeki eksik alanları doğrulamak/zenginleştirmek için kullanıldı.</x:v>
      </x:c>
    </x:row>
    <x:row r="29">
      <x:c r="A29" s="119" t="str">
        <x:v>Web</x:v>
      </x:c>
      <x:c r="B29" s="29" t="str">
        <x:v>Konum</x:v>
      </x:c>
      <x:c r="C29" s="29" t="n">
        <x:v>1</x:v>
      </x:c>
      <x:c r="D29" s="32" t="str">
        <x:v>https://turkiyebarajlar.com/baraj/gezende</x:v>
      </x:c>
      <x:c r="E29" s="101" t="str">
        <x:v>177 HES listesindeki eksik alanları doğrulamak/zenginleştirmek için kullanıldı.</x:v>
      </x:c>
    </x:row>
    <x:row r="30">
      <x:c r="A30" s="119" t="str">
        <x:v>Web</x:v>
      </x:c>
      <x:c r="B30" s="29" t="str">
        <x:v>Konum</x:v>
      </x:c>
      <x:c r="C30" s="29" t="n">
        <x:v>1</x:v>
      </x:c>
      <x:c r="D30" s="32" t="str">
        <x:v>https://turkiyebarajlar.com/baraj/gokcekaya</x:v>
      </x:c>
      <x:c r="E30" s="101" t="str">
        <x:v>177 HES listesindeki eksik alanları doğrulamak/zenginleştirmek için kullanıldı.</x:v>
      </x:c>
    </x:row>
    <x:row r="31">
      <x:c r="A31" s="119" t="str">
        <x:v>Web</x:v>
      </x:c>
      <x:c r="B31" s="29" t="str">
        <x:v>Konum</x:v>
      </x:c>
      <x:c r="C31" s="29" t="n">
        <x:v>1</x:v>
      </x:c>
      <x:c r="D31" s="32" t="str">
        <x:v>https://turkiyebarajlar.com/baraj/kavsakbendi-hes</x:v>
      </x:c>
      <x:c r="E31" s="101" t="str">
        <x:v>177 HES listesindeki eksik alanları doğrulamak/zenginleştirmek için kullanıldı.</x:v>
      </x:c>
    </x:row>
    <x:row r="32">
      <x:c r="A32" s="119" t="str">
        <x:v>Web</x:v>
      </x:c>
      <x:c r="B32" s="29" t="str">
        <x:v>Konum</x:v>
      </x:c>
      <x:c r="C32" s="29" t="n">
        <x:v>1</x:v>
      </x:c>
      <x:c r="D32" s="32" t="str">
        <x:v>https://turkiyebarajlar.com/baraj/kopru</x:v>
      </x:c>
      <x:c r="E32" s="101" t="str">
        <x:v>177 HES listesindeki eksik alanları doğrulamak/zenginleştirmek için kullanıldı.</x:v>
      </x:c>
    </x:row>
    <x:row r="33">
      <x:c r="A33" s="119" t="str">
        <x:v>Web</x:v>
      </x:c>
      <x:c r="B33" s="29" t="str">
        <x:v>Konum</x:v>
      </x:c>
      <x:c r="C33" s="29" t="n">
        <x:v>1</x:v>
      </x:c>
      <x:c r="D33" s="32" t="str">
        <x:v>https://turkiyebarajlar.com/baraj/obruk</x:v>
      </x:c>
      <x:c r="E33" s="101" t="str">
        <x:v>177 HES listesindeki eksik alanları doğrulamak/zenginleştirmek için kullanıldı.</x:v>
      </x:c>
    </x:row>
    <x:row r="34">
      <x:c r="A34" s="119" t="str">
        <x:v>Web</x:v>
      </x:c>
      <x:c r="B34" s="29" t="str">
        <x:v>Konum</x:v>
      </x:c>
      <x:c r="C34" s="29" t="n">
        <x:v>1</x:v>
      </x:c>
      <x:c r="D34" s="32" t="str">
        <x:v>https://turkiyebarajlar.com/baraj/yedigoze</x:v>
      </x:c>
      <x:c r="E34" s="101" t="str">
        <x:v>177 HES listesindeki eksik alanları doğrulamak/zenginleştirmek için kullanıldı.</x:v>
      </x:c>
    </x:row>
    <x:row r="35">
      <x:c r="A35" s="119" t="str">
        <x:v>Web</x:v>
      </x:c>
      <x:c r="B35" s="29" t="str">
        <x:v>Kurulu Güç, İl</x:v>
      </x:c>
      <x:c r="C35" s="29" t="n">
        <x:v>1</x:v>
      </x:c>
      <x:c r="D35" s="32" t="str">
        <x:v>https://turkiyebarajlar.com/santral-arizasi/97211-aksar-nazar-enerji-uretim-as-aksar-nazar-hes</x:v>
      </x:c>
      <x:c r="E35" s="101" t="str">
        <x:v>177 HES listesindeki eksik alanları doğrulamak/zenginleştirmek için kullanıldı.</x:v>
      </x:c>
    </x:row>
    <x:row r="36">
      <x:c r="A36" s="119" t="str">
        <x:v>Web</x:v>
      </x:c>
      <x:c r="B36" s="29" t="str">
        <x:v>Kurulu Güç, İl</x:v>
      </x:c>
      <x:c r="C36" s="29" t="n">
        <x:v>2</x:v>
      </x:c>
      <x:c r="D36" s="32" t="str">
        <x:v>https://webdosya.csb.gov.tr/db/ced/icerikler/ardahan_-cdr-2024-20250917092626.pdf</x:v>
      </x:c>
      <x:c r="E36" s="101" t="str">
        <x:v>177 HES listesindeki eksik alanları doğrulamak/zenginleştirmek için kullanıldı.</x:v>
      </x:c>
    </x:row>
    <x:row r="37">
      <x:c r="A37" s="119" t="str">
        <x:v>Web</x:v>
      </x:c>
      <x:c r="B37" s="29" t="str">
        <x:v>İl</x:v>
      </x:c>
      <x:c r="C37" s="29" t="n">
        <x:v>1</x:v>
      </x:c>
      <x:c r="D37" s="32" t="str">
        <x:v>https://webdosya.csb.gov.tr/db/ced/icerikler/hakkar-_-cdr2022-20230829101004.pdf</x:v>
      </x:c>
      <x:c r="E37" s="101" t="str">
        <x:v>177 HES listesindeki eksik alanları doğrulamak/zenginleştirmek için kullanıldı.</x:v>
      </x:c>
    </x:row>
    <x:row r="38">
      <x:c r="A38" s="119" t="str">
        <x:v>Web</x:v>
      </x:c>
      <x:c r="B38" s="29" t="str">
        <x:v>Kurulu Güç, İl</x:v>
      </x:c>
      <x:c r="C38" s="29" t="n">
        <x:v>2</x:v>
      </x:c>
      <x:c r="D38" s="32" t="str">
        <x:v>https://webdosya.csb.gov.tr/db/ced/icerikler/sirnak_-cdr2023-20240705110218.pdf</x:v>
      </x:c>
      <x:c r="E38" s="101" t="str">
        <x:v>177 HES listesindeki eksik alanları doğrulamak/zenginleştirmek için kullanıldı.</x:v>
      </x:c>
    </x:row>
    <x:row r="39">
      <x:c r="A39" s="119" t="str">
        <x:v>Web</x:v>
      </x:c>
      <x:c r="B39" s="29" t="str">
        <x:v>Kurulu Güç, İl</x:v>
      </x:c>
      <x:c r="C39" s="29" t="n">
        <x:v>1</x:v>
      </x:c>
      <x:c r="D39" s="32" t="str">
        <x:v>https://webdosya.csb.gov.tr/db/ced/icerikler/tokat-ilcdr-2024-20250912142307.pdf</x:v>
      </x:c>
      <x:c r="E39" s="101" t="str">
        <x:v>177 HES listesindeki eksik alanları doğrulamak/zenginleştirmek için kullanıldı.</x:v>
      </x:c>
    </x:row>
    <x:row r="40">
      <x:c r="A40" s="119" t="str">
        <x:v>Web</x:v>
      </x:c>
      <x:c r="B40" s="29" t="str">
        <x:v>Kurulu Güç, İl</x:v>
      </x:c>
      <x:c r="C40" s="29" t="n">
        <x:v>2</x:v>
      </x:c>
      <x:c r="D40" s="32" t="str">
        <x:v>https://www.akenerji.com.tr/santrallerimiz</x:v>
      </x:c>
      <x:c r="E40" s="101" t="str">
        <x:v>177 HES listesindeki eksik alanları doğrulamak/zenginleştirmek için kullanıldı.</x:v>
      </x:c>
    </x:row>
    <x:row r="41">
      <x:c r="A41" s="119" t="str">
        <x:v>Web</x:v>
      </x:c>
      <x:c r="B41" s="29" t="str">
        <x:v>Kurulu Güç, İl</x:v>
      </x:c>
      <x:c r="C41" s="29" t="n">
        <x:v>1</x:v>
      </x:c>
      <x:c r="D41" s="32" t="str">
        <x:v>https://www.alarko.com.tr/faaliyet-gruplari/enerji-grubu/</x:v>
      </x:c>
      <x:c r="E41" s="101" t="str">
        <x:v>177 HES listesindeki eksik alanları doğrulamak/zenginleştirmek için kullanıldı.</x:v>
      </x:c>
    </x:row>
    <x:row r="42">
      <x:c r="A42" s="119" t="str">
        <x:v>Web</x:v>
      </x:c>
      <x:c r="B42" s="29" t="str">
        <x:v>Kurulu Güç, İl</x:v>
      </x:c>
      <x:c r="C42" s="29" t="n">
        <x:v>1</x:v>
      </x:c>
      <x:c r="D42" s="32" t="str">
        <x:v>https://www.enerjiatlasi.com/hes-haritasi/siirt</x:v>
      </x:c>
      <x:c r="E42" s="101" t="str">
        <x:v>177 HES listesindeki eksik alanları doğrulamak/zenginleştirmek için kullanıldı.</x:v>
      </x:c>
    </x:row>
    <x:row r="43">
      <x:c r="A43" s="119" t="str">
        <x:v>Web</x:v>
      </x:c>
      <x:c r="B43" s="29" t="str">
        <x:v>İl</x:v>
      </x:c>
      <x:c r="C43" s="29" t="n">
        <x:v>30</x:v>
      </x:c>
      <x:c r="D43" s="32" t="str">
        <x:v>https://www.enerjiatlasi.com/hidroelektrik/?v=1.0.24</x:v>
      </x:c>
      <x:c r="E43" s="101" t="str">
        <x:v>177 HES listesindeki eksik alanları doğrulamak/zenginleştirmek için kullanıldı.</x:v>
      </x:c>
    </x:row>
    <x:row r="44">
      <x:c r="A44" s="119" t="str">
        <x:v>Web</x:v>
      </x:c>
      <x:c r="B44" s="29" t="str">
        <x:v>Kurulu Güç, İl</x:v>
      </x:c>
      <x:c r="C44" s="29" t="n">
        <x:v>1</x:v>
      </x:c>
      <x:c r="D44" s="32" t="str">
        <x:v>https://www.enerjiatlasi.com/hidroelektrik/akkoy-baraji.html</x:v>
      </x:c>
      <x:c r="E44" s="101" t="str">
        <x:v>177 HES listesindeki eksik alanları doğrulamak/zenginleştirmek için kullanıldı.</x:v>
      </x:c>
    </x:row>
    <x:row r="45">
      <x:c r="A45" s="119" t="str">
        <x:v>Web</x:v>
      </x:c>
      <x:c r="B45" s="29" t="str">
        <x:v>İl</x:v>
      </x:c>
      <x:c r="C45" s="29" t="n">
        <x:v>1</x:v>
      </x:c>
      <x:c r="D45" s="32" t="str">
        <x:v>https://www.enerjiatlasi.com/hidroelektrik/dinar-2-hes.html</x:v>
      </x:c>
      <x:c r="E45" s="101" t="str">
        <x:v>177 HES listesindeki eksik alanları doğrulamak/zenginleştirmek için kullanıldı.</x:v>
      </x:c>
    </x:row>
    <x:row r="46">
      <x:c r="A46" s="119" t="str">
        <x:v>Web</x:v>
      </x:c>
      <x:c r="B46" s="29" t="str">
        <x:v>Kurulu Güç, İl</x:v>
      </x:c>
      <x:c r="C46" s="29" t="n">
        <x:v>1</x:v>
      </x:c>
      <x:c r="D46" s="32" t="str">
        <x:v>https://www.enerjiatlasi.com/hidroelektrik/kayakopru-hes.html</x:v>
      </x:c>
      <x:c r="E46" s="101" t="str">
        <x:v>177 HES listesindeki eksik alanları doğrulamak/zenginleştirmek için kullanıldı.</x:v>
      </x:c>
    </x:row>
    <x:row r="47">
      <x:c r="A47" s="119" t="str">
        <x:v>Web</x:v>
      </x:c>
      <x:c r="B47" s="29" t="str">
        <x:v>İl</x:v>
      </x:c>
      <x:c r="C47" s="29" t="n">
        <x:v>1</x:v>
      </x:c>
      <x:c r="D47" s="32" t="str">
        <x:v>https://www.enerturk.com/RHG_SR_2022_TR_18.pdf</x:v>
      </x:c>
      <x:c r="E47" s="101" t="str">
        <x:v>177 HES listesindeki eksik alanları doğrulamak/zenginleştirmek için kullanıldı.</x:v>
      </x:c>
    </x:row>
    <x:row r="48">
      <x:c r="A48" s="119" t="str">
        <x:v>Web</x:v>
      </x:c>
      <x:c r="B48" s="29" t="str">
        <x:v>İl</x:v>
      </x:c>
      <x:c r="C48" s="29" t="n">
        <x:v>1</x:v>
      </x:c>
      <x:c r="D48" s="32" t="str">
        <x:v>https://www.enerturk.com/kurumsal/faaliyetlerimiz/elektrik-uretim/hidroelektrik-santralleri-hes/sumer-hes</x:v>
      </x:c>
      <x:c r="E48" s="101" t="str">
        <x:v>177 HES listesindeki eksik alanları doğrulamak/zenginleştirmek için kullanıldı.</x:v>
      </x:c>
    </x:row>
    <x:row r="49">
      <x:c r="A49" s="119" t="str">
        <x:v>Web</x:v>
      </x:c>
      <x:c r="B49" s="29" t="str">
        <x:v>Kurulu Güç, İl</x:v>
      </x:c>
      <x:c r="C49" s="29" t="n">
        <x:v>1</x:v>
      </x:c>
      <x:c r="D49" s="32" t="str">
        <x:v>https://www.epdk.gov.tr/Detay/Icerik/4-12934/arikenerjiuretimsirketisantralsahasihk</x:v>
      </x:c>
      <x:c r="E49" s="101" t="str">
        <x:v>177 HES listesindeki eksik alanları doğrulamak/zenginleştirmek için kullanıldı.</x:v>
      </x:c>
    </x:row>
    <x:row r="50">
      <x:c r="A50" s="119" t="str">
        <x:v>Web</x:v>
      </x:c>
      <x:c r="B50" s="29" t="str">
        <x:v>Kurulu Güç, İl</x:v>
      </x:c>
      <x:c r="C50" s="29" t="n">
        <x:v>1</x:v>
      </x:c>
      <x:c r="D50" s="32" t="str">
        <x:v>https://www.erciyesenerji.com.tr/santral-bilgileri/</x:v>
      </x:c>
      <x:c r="E50" s="101" t="str">
        <x:v>177 HES listesindeki eksik alanları doğrulamak/zenginleştirmek için kullanıldı.</x:v>
      </x:c>
    </x:row>
    <x:row r="51">
      <x:c r="A51" s="119" t="str">
        <x:v>Web</x:v>
      </x:c>
      <x:c r="B51" s="29" t="str">
        <x:v>Kurulu Güç, İl</x:v>
      </x:c>
      <x:c r="C51" s="29" t="n">
        <x:v>2</x:v>
      </x:c>
      <x:c r="D51" s="32" t="str">
        <x:v>https://www.evrensel.net/haber/5986783/dicle-ve-firat-havzalari-cevre-tahribati-kusatmasinda-244-hes-ve-ges-faaliyette-yuzlercesi-proje-asamasinda</x:v>
      </x:c>
      <x:c r="E51" s="101" t="str">
        <x:v>177 HES listesindeki eksik alanları doğrulamak/zenginleştirmek için kullanıldı.</x:v>
      </x:c>
    </x:row>
    <x:row r="52">
      <x:c r="A52" s="119" t="str">
        <x:v>Web</x:v>
      </x:c>
      <x:c r="B52" s="29" t="str">
        <x:v>Konum</x:v>
      </x:c>
      <x:c r="C52" s="29" t="n">
        <x:v>1</x:v>
      </x:c>
      <x:c r="D52" s="32" t="str">
        <x:v>https://www.gem.wiki/Akinci_Cildir_hydroelectric_plant</x:v>
      </x:c>
      <x:c r="E52" s="101" t="str">
        <x:v>177 HES listesindeki eksik alanları doğrulamak/zenginleştirmek için kullanıldı.</x:v>
      </x:c>
    </x:row>
    <x:row r="53">
      <x:c r="A53" s="119" t="str">
        <x:v>Web</x:v>
      </x:c>
      <x:c r="B53" s="29" t="str">
        <x:v>İl</x:v>
      </x:c>
      <x:c r="C53" s="29" t="n">
        <x:v>1</x:v>
      </x:c>
      <x:c r="D53" s="32" t="str">
        <x:v>https://www.gulsanholding.com.tr/dogankaya_hes.asp?Dil=tr</x:v>
      </x:c>
      <x:c r="E53" s="101" t="str">
        <x:v>177 HES listesindeki eksik alanları doğrulamak/zenginleştirmek için kullanıldı.</x:v>
      </x:c>
    </x:row>
    <x:row r="54">
      <x:c r="A54" s="119" t="str">
        <x:v>Web</x:v>
      </x:c>
      <x:c r="B54" s="29" t="str">
        <x:v>Kurulu Güç, İl</x:v>
      </x:c>
      <x:c r="C54" s="29" t="n">
        <x:v>1</x:v>
      </x:c>
      <x:c r="D54" s="32" t="str">
        <x:v>https://www.kalkinmakutuphanesi.gov.tr/assets/upload/dosyalar/2014-2023-bati-karadeniz-bolge-plani-cilt1-mevcut-durum-analizi-1-2.pdf</x:v>
      </x:c>
      <x:c r="E54" s="101" t="str">
        <x:v>177 HES listesindeki eksik alanları doğrulamak/zenginleştirmek için kullanıldı.</x:v>
      </x:c>
    </x:row>
    <x:row r="55">
      <x:c r="A55" s="119" t="str">
        <x:v>Web</x:v>
      </x:c>
      <x:c r="B55" s="29" t="str">
        <x:v>Kurulu Güç, İl</x:v>
      </x:c>
      <x:c r="C55" s="29" t="n">
        <x:v>2</x:v>
      </x:c>
      <x:c r="D55" s="32" t="str">
        <x:v>https://www.milligazete.com.tr/hidroelektrik-santrali-hes-nedir-turkiyede-kac-tane-hes-var</x:v>
      </x:c>
      <x:c r="E55" s="101" t="str">
        <x:v>177 HES listesindeki eksik alanları doğrulamak/zenginleştirmek için kullanıldı.</x:v>
      </x:c>
    </x:row>
    <x:row r="56">
      <x:c r="A56" s="119" t="str">
        <x:v>Web</x:v>
      </x:c>
      <x:c r="B56" s="29" t="str">
        <x:v>İl</x:v>
      </x:c>
      <x:c r="C56" s="29" t="n">
        <x:v>1</x:v>
      </x:c>
      <x:c r="D56" s="32" t="str">
        <x:v>https://www.tektug.com/projects/kargilik-hes-24-mw/</x:v>
      </x:c>
      <x:c r="E56" s="101" t="str">
        <x:v>177 HES listesindeki eksik alanları doğrulamak/zenginleştirmek için kullanıldı.</x:v>
      </x:c>
    </x:row>
    <x:row r="57">
      <x:c r="A57" s="119" t="str">
        <x:v>Web</x:v>
      </x:c>
      <x:c r="B57" s="29" t="str">
        <x:v>Konum</x:v>
      </x:c>
      <x:c r="C57" s="29" t="n">
        <x:v>1</x:v>
      </x:c>
      <x:c r="D57" s="32" t="str">
        <x:v>https://www.wikidata.org/wiki/Q152556</x:v>
      </x:c>
      <x:c r="E57" s="101" t="str">
        <x:v>177 HES listesindeki eksik alanları doğrulamak/zenginleştirmek için kullanıldı.</x:v>
      </x:c>
    </x:row>
    <x:row r="58">
      <x:c r="A58" s="120" t="str">
        <x:v>Web</x:v>
      </x:c>
      <x:c r="B58" s="121" t="str">
        <x:v>Konum</x:v>
      </x:c>
      <x:c r="C58" s="121" t="n">
        <x:v>1</x:v>
      </x:c>
      <x:c r="D58" s="103" t="str">
        <x:v>https://www.wikidata.org/wiki/Q753776</x:v>
      </x:c>
      <x:c r="E58" s="108" t="str">
        <x:v>177 HES listesindeki eksik alanları doğrulamak/zenginleştirmek için kullanıldı.</x:v>
      </x:c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92f174aeaa1c465e"/>
  </x:tableParts>
</x:worksheet>
</file>